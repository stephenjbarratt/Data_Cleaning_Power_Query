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f3754aa29ba756/Desktop/Business Analyst/2. Analyst/Portfolio Projects/Cleaning_Data/"/>
    </mc:Choice>
  </mc:AlternateContent>
  <xr:revisionPtr revIDLastSave="27" documentId="8_{69490176-9228-4109-80A6-F829641058ED}" xr6:coauthVersionLast="47" xr6:coauthVersionMax="47" xr10:uidLastSave="{D07E6D01-3E5A-4E50-AE66-9AC25D84284E}"/>
  <bookViews>
    <workbookView xWindow="-108" yWindow="-108" windowWidth="23256" windowHeight="12456" xr2:uid="{9FB91CE9-40E4-4146-8903-0114BF420747}"/>
  </bookViews>
  <sheets>
    <sheet name="Analysis" sheetId="1" r:id="rId1"/>
  </sheets>
  <definedNames>
    <definedName name="ExternalData_1" localSheetId="0" hidden="1">Analysis!$F$1:$I$408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C16" i="1"/>
  <c r="C13" i="1"/>
  <c r="C10" i="1"/>
  <c r="C7" i="1"/>
  <c r="C4" i="1"/>
  <c r="C3" i="1"/>
  <c r="B17" i="1"/>
  <c r="B14" i="1"/>
  <c r="B11" i="1"/>
  <c r="B8" i="1"/>
  <c r="B5" i="1"/>
  <c r="B16" i="1"/>
  <c r="B13" i="1"/>
  <c r="B10" i="1"/>
  <c r="B7" i="1"/>
  <c r="B4" i="1"/>
  <c r="C5" i="1" l="1"/>
  <c r="C8" i="1"/>
  <c r="C11" i="1"/>
  <c r="C14" i="1"/>
  <c r="C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4C1730-5BD2-4713-85E2-6E51C47A04D9}" keepAlive="1" name="Query - CleanData" description="Connection to the 'CleanData' query in the workbook." type="5" refreshedVersion="8" background="1" saveData="1">
    <dbPr connection="Provider=Microsoft.Mashup.OleDb.1;Data Source=$Workbook$;Location=CleanData;Extended Properties=&quot;&quot;" command="SELECT * FROM [CleanData]"/>
  </connection>
</connections>
</file>

<file path=xl/sharedStrings.xml><?xml version="1.0" encoding="utf-8"?>
<sst xmlns="http://schemas.openxmlformats.org/spreadsheetml/2006/main" count="831" uniqueCount="776">
  <si>
    <t>Revenue Total</t>
  </si>
  <si>
    <t>Material and Services Total</t>
  </si>
  <si>
    <t>Material % of Revenue</t>
  </si>
  <si>
    <t>Personnel Expenses Total</t>
  </si>
  <si>
    <t>Personnel % of Revenue</t>
  </si>
  <si>
    <t>Other Fixed Expenses Total</t>
  </si>
  <si>
    <t>Fixed Costs % of Revenue</t>
  </si>
  <si>
    <t>Financial Result</t>
  </si>
  <si>
    <t>Financial Result % of Revenue</t>
  </si>
  <si>
    <t>Profit Loss Total</t>
  </si>
  <si>
    <t>Profit/Loss % of Revenue</t>
  </si>
  <si>
    <t>Current YTD</t>
  </si>
  <si>
    <t>Last Year</t>
  </si>
  <si>
    <t>Customer claims (No material costs)</t>
  </si>
  <si>
    <t>Claims - Insurance reimbursement</t>
  </si>
  <si>
    <t>Financial discount to customers (Gross</t>
  </si>
  <si>
    <t>Financial discount to customers (Invoic</t>
  </si>
  <si>
    <t>External sale of Geek products</t>
  </si>
  <si>
    <t>Sales - realised gain/loss from FX</t>
  </si>
  <si>
    <t>Intercompany sale of Geek product</t>
  </si>
  <si>
    <t>External sale of Nerd products</t>
  </si>
  <si>
    <t>Intercompany sales of Nerd products</t>
  </si>
  <si>
    <t>External sale of Aromatic prod</t>
  </si>
  <si>
    <t>External sale of Spinners</t>
  </si>
  <si>
    <t>External sale of Compacts</t>
  </si>
  <si>
    <t>(Volume) Rebates - Settlement</t>
  </si>
  <si>
    <t>(Volume) Rebates - Accrual</t>
  </si>
  <si>
    <t>(Volume) Rebates - Reversal accrual</t>
  </si>
  <si>
    <t>Customer trade/commercial discounts</t>
  </si>
  <si>
    <t>Stock transfers - Nerds</t>
  </si>
  <si>
    <t>External sale of other products</t>
  </si>
  <si>
    <t>Intercompany sale of other products</t>
  </si>
  <si>
    <t>External sale of services</t>
  </si>
  <si>
    <t>Reselling purchased products Nerds</t>
  </si>
  <si>
    <t>Cost of goods sold (COS)</t>
  </si>
  <si>
    <t>OL &amp; Compacts stock clear./Price diffe</t>
  </si>
  <si>
    <t>OL &amp; Compacts stock clear./Qty differe</t>
  </si>
  <si>
    <t>OL &amp; Compacts Stock clear./override</t>
  </si>
  <si>
    <t>Cost of goods sold - reselling OL &amp; Fee</t>
  </si>
  <si>
    <t>Cost of goods sold - OL &amp; Compacts</t>
  </si>
  <si>
    <t>Cost of goods sold, RM base resin</t>
  </si>
  <si>
    <t>Monomatic Asset compensation</t>
  </si>
  <si>
    <t>Monomatic Other hedges</t>
  </si>
  <si>
    <t>Delivered samples / test orders</t>
  </si>
  <si>
    <t>Revaluation at standard price, price ma</t>
  </si>
  <si>
    <t>Delta standard prices vs. MTM, price ma</t>
  </si>
  <si>
    <t>Delta nerd prices</t>
  </si>
  <si>
    <t>Change in inventory Aromatic</t>
  </si>
  <si>
    <t>Change in inventory production co-produ</t>
  </si>
  <si>
    <t>Adjustment for slow movers</t>
  </si>
  <si>
    <t>Adjustment lowest net market value prin</t>
  </si>
  <si>
    <t>Adjustment to FIFO</t>
  </si>
  <si>
    <t>Revaluation at standard price (neutral</t>
  </si>
  <si>
    <t>Delta standard prices versus MTM (neutr</t>
  </si>
  <si>
    <t>FIFO vs MTM inventory re-evaluation neu</t>
  </si>
  <si>
    <t>Change in inventory gain/loss Finished</t>
  </si>
  <si>
    <t>Raw material re(de)valuation</t>
  </si>
  <si>
    <t>Finished goods re(de)valuation</t>
  </si>
  <si>
    <t>Gain/loss material reclassification</t>
  </si>
  <si>
    <t>Change in inventory Work in progress</t>
  </si>
  <si>
    <t>Change in inventory, finished goods/rec</t>
  </si>
  <si>
    <t>Change in inventory Nerds &amp; Compacts</t>
  </si>
  <si>
    <t>Change in inventory Finished goods</t>
  </si>
  <si>
    <t>Internal sale of Nerd products - Loca</t>
  </si>
  <si>
    <t>Internal sale of Compacts products</t>
  </si>
  <si>
    <t>Intercompany Management fee</t>
  </si>
  <si>
    <t>External commissions received</t>
  </si>
  <si>
    <t>(Agent) Commissions paid - settlement</t>
  </si>
  <si>
    <t>IC commission/sales support paid-Non co</t>
  </si>
  <si>
    <t>(Agent) Commissions paid - Accrual</t>
  </si>
  <si>
    <t>(Agent) Commissions paid - Reversal acc</t>
  </si>
  <si>
    <t>Internal spot sales of Nerd products</t>
  </si>
  <si>
    <t>Intercompany sale of Royalties</t>
  </si>
  <si>
    <t>Other received compensation</t>
  </si>
  <si>
    <t>Other income</t>
  </si>
  <si>
    <t xml:space="preserve">Strategy income </t>
  </si>
  <si>
    <t>Income from fixed costs re-invoicing</t>
  </si>
  <si>
    <t>I/C income from software reinvoicing</t>
  </si>
  <si>
    <t>I/C income from fixed costs re-invoicin</t>
  </si>
  <si>
    <t>Realized gain on MM Exchange rate diff</t>
  </si>
  <si>
    <t>Realized gain on intercompany trade/ pa</t>
  </si>
  <si>
    <t>Realized gain on intercompany trade/ re</t>
  </si>
  <si>
    <t>Realized gain on external financial tra</t>
  </si>
  <si>
    <t>Realized gain on external bank accounts</t>
  </si>
  <si>
    <t>Realized gain on external trade/ payabl</t>
  </si>
  <si>
    <t>Realized gain on external trade/ receiv</t>
  </si>
  <si>
    <t>Realized gain on external short term de</t>
  </si>
  <si>
    <t>Unrealized gain on I/C financial transa</t>
  </si>
  <si>
    <t>Unrealized gain on I/C (internal) bank</t>
  </si>
  <si>
    <t>Unrealized gain on intercompany trade/</t>
  </si>
  <si>
    <t>Unrealized gain on I/C short term depos</t>
  </si>
  <si>
    <t>Unrealized gain on external financial t</t>
  </si>
  <si>
    <t>Unrealized gain on external bank accoun</t>
  </si>
  <si>
    <t>Unrealized gain on external trade/payab</t>
  </si>
  <si>
    <t>Unrealized gain on external trade/recei</t>
  </si>
  <si>
    <t>Unrealized gain on external long term r</t>
  </si>
  <si>
    <t>Unrealized gain on external short term</t>
  </si>
  <si>
    <t>Unrealized gain on intercompany transac</t>
  </si>
  <si>
    <t>Other Income</t>
  </si>
  <si>
    <t>Consumption of raw materials</t>
  </si>
  <si>
    <t>Consumption of Master</t>
  </si>
  <si>
    <t>Consumption of Propaster</t>
  </si>
  <si>
    <t>Consumption of other feedstock</t>
  </si>
  <si>
    <t>Consumption of Nerds (new)</t>
  </si>
  <si>
    <t>Consumption of Aromatics</t>
  </si>
  <si>
    <t>Consumption of Raffin</t>
  </si>
  <si>
    <t>Consumption of Pygaster</t>
  </si>
  <si>
    <t>Consumption of Benzaster</t>
  </si>
  <si>
    <t>Consumption of Propylaster</t>
  </si>
  <si>
    <t>Consumption of other raw</t>
  </si>
  <si>
    <t xml:space="preserve">Consumption of utilities </t>
  </si>
  <si>
    <t>Consumption of purchased base resin</t>
  </si>
  <si>
    <t>Consumption of Glue</t>
  </si>
  <si>
    <t>Consumption of own produced glue</t>
  </si>
  <si>
    <t>Consumption of additives - Others</t>
  </si>
  <si>
    <t>Consumption of additives - Nerds</t>
  </si>
  <si>
    <t>Consumption of Process chemicals</t>
  </si>
  <si>
    <t>Consumption of Peroxides</t>
  </si>
  <si>
    <t>Consumption of Carbon Black</t>
  </si>
  <si>
    <t>Consumption of Other master batches</t>
  </si>
  <si>
    <t>Consumption of Utilities</t>
  </si>
  <si>
    <t>Consumption Scrap</t>
  </si>
  <si>
    <t>Consumption of recycled products</t>
  </si>
  <si>
    <t>Clearing of PO recycled materials</t>
  </si>
  <si>
    <t>Consumption of main recycl</t>
  </si>
  <si>
    <t>Consumption of other recycled material</t>
  </si>
  <si>
    <t>Reclass revenue of recycled materials</t>
  </si>
  <si>
    <t>Consumption co-produced material</t>
  </si>
  <si>
    <t>Consumption finished goods - Own produc</t>
  </si>
  <si>
    <t>Consumption finished goods - Geek</t>
  </si>
  <si>
    <t>Direct consumption of stock material</t>
  </si>
  <si>
    <t>Production variance co-produced materia</t>
  </si>
  <si>
    <t>Price variance procurement</t>
  </si>
  <si>
    <t>Monor price adjustments</t>
  </si>
  <si>
    <t>Recycled stream price adjustments</t>
  </si>
  <si>
    <t>Production variance</t>
  </si>
  <si>
    <t>Purchase of Natural Gas</t>
  </si>
  <si>
    <t>Consumption of Packaging Materials</t>
  </si>
  <si>
    <t>General sub-contracting</t>
  </si>
  <si>
    <t>Consumption variable pilot plant costs</t>
  </si>
  <si>
    <t>External purchases of services (variabl</t>
  </si>
  <si>
    <t>Internal purchases</t>
  </si>
  <si>
    <t>Consumption products for resale</t>
  </si>
  <si>
    <t>Discounts, allowances and rebates recei</t>
  </si>
  <si>
    <t>Change in inventory raw material/scrapp</t>
  </si>
  <si>
    <t>Change in inventory raw material</t>
  </si>
  <si>
    <t>Change in inventory due to packaging</t>
  </si>
  <si>
    <t>Sampling finished goods</t>
  </si>
  <si>
    <t>Gain - Internal movement (MM)</t>
  </si>
  <si>
    <t>Change in inventory gain/loss other goo</t>
  </si>
  <si>
    <t>Utilities re(de)valuation</t>
  </si>
  <si>
    <t>Changes in inventory - local/legal (per</t>
  </si>
  <si>
    <t>Material for direct use</t>
  </si>
  <si>
    <t>Intercompany purchases of services</t>
  </si>
  <si>
    <t>I/C gain / loss transfers between plant</t>
  </si>
  <si>
    <t>Internal sale</t>
  </si>
  <si>
    <t>Internal sale of Nerd products</t>
  </si>
  <si>
    <t>Financial discount received from suppli</t>
  </si>
  <si>
    <t>Consumption - non stock materials</t>
  </si>
  <si>
    <t>Destruction - non commercial co-product</t>
  </si>
  <si>
    <t>Fuel for cars</t>
  </si>
  <si>
    <t>Office equipment</t>
  </si>
  <si>
    <t>Monomat fixed price hedge</t>
  </si>
  <si>
    <t>Gain/loss unrealized financial swaps</t>
  </si>
  <si>
    <t>Gain/loss realized financial swaps</t>
  </si>
  <si>
    <t>FIFO vs MTM inventory re-evaluation com</t>
  </si>
  <si>
    <t>Broker fees</t>
  </si>
  <si>
    <t>Unrealised gain/loss of firm commitment</t>
  </si>
  <si>
    <t>Expenses Compacts</t>
  </si>
  <si>
    <t>Purchase of Electricity</t>
  </si>
  <si>
    <t>Purchase of Steam</t>
  </si>
  <si>
    <t>Purchase of Water</t>
  </si>
  <si>
    <t>Purchase of Nitro</t>
  </si>
  <si>
    <t>Purchase of Hydro</t>
  </si>
  <si>
    <t>Energy Tax</t>
  </si>
  <si>
    <t>CO2 emissions made</t>
  </si>
  <si>
    <t>Purchase of products from JV</t>
  </si>
  <si>
    <t>Resale re(de)valuation</t>
  </si>
  <si>
    <t>Intercompany processing service expense</t>
  </si>
  <si>
    <t>Salaries - White collar workers</t>
  </si>
  <si>
    <t>Salaries - Blue collar workers</t>
  </si>
  <si>
    <t>Holiday pay - White collar workers</t>
  </si>
  <si>
    <t>Accruals holiday pay - Monthly paid</t>
  </si>
  <si>
    <t>Bonuses - White collar workers</t>
  </si>
  <si>
    <t>Bonuses - Accruals - White collar worke</t>
  </si>
  <si>
    <t>Salaries - not taxed</t>
  </si>
  <si>
    <t>Expatriates - Gross salaries</t>
  </si>
  <si>
    <t>local social costs 3</t>
  </si>
  <si>
    <t>Pension fund</t>
  </si>
  <si>
    <t>Employer's contribution - White collar</t>
  </si>
  <si>
    <t>local social costs 1</t>
  </si>
  <si>
    <t>local social costs 4</t>
  </si>
  <si>
    <t>local social costs 6</t>
  </si>
  <si>
    <t>local social costs 8</t>
  </si>
  <si>
    <t>Canteen costs, net</t>
  </si>
  <si>
    <t>Other direct social benefits</t>
  </si>
  <si>
    <t>Allowances</t>
  </si>
  <si>
    <t>Health service fee</t>
  </si>
  <si>
    <t>Occupational health service</t>
  </si>
  <si>
    <t>Other social personnel costs</t>
  </si>
  <si>
    <t>Depreciation of intangible fixed assets</t>
  </si>
  <si>
    <t>Depreciation capitalised development</t>
  </si>
  <si>
    <t>Depreciation of tangible fixed assets</t>
  </si>
  <si>
    <t>Local tax 3</t>
  </si>
  <si>
    <t>Purchase (inbound) freight costs</t>
  </si>
  <si>
    <t>Freight costs for Nerds (outbound)</t>
  </si>
  <si>
    <t>Freight costs (outbound)</t>
  </si>
  <si>
    <t>Freight costs for Aromatics (o</t>
  </si>
  <si>
    <t>Additional surcharges overseas</t>
  </si>
  <si>
    <t>Freight - Others/ overseas (additional</t>
  </si>
  <si>
    <t>Freight - actual costs</t>
  </si>
  <si>
    <t>Site freight costs</t>
  </si>
  <si>
    <t xml:space="preserve">Distribution costs purchases </t>
  </si>
  <si>
    <t>Transhipment centre fill-up - freight c</t>
  </si>
  <si>
    <t>Custom duties and taxes</t>
  </si>
  <si>
    <t>Subcontracting freight / transport cost</t>
  </si>
  <si>
    <t>Other terminal cost</t>
  </si>
  <si>
    <t>Claims - Return freight costs (A/P)</t>
  </si>
  <si>
    <t>Claims to transport/freight (A/R)</t>
  </si>
  <si>
    <t>Conference charges</t>
  </si>
  <si>
    <t>Advertising</t>
  </si>
  <si>
    <t>Give aways</t>
  </si>
  <si>
    <t>Fairs and exhibitions</t>
  </si>
  <si>
    <t>Company insurance</t>
  </si>
  <si>
    <t>Insurance cost for houses</t>
  </si>
  <si>
    <t>Insurance freight costs</t>
  </si>
  <si>
    <t>Insurance for expatriates</t>
  </si>
  <si>
    <t>Group insurance</t>
  </si>
  <si>
    <t>Patents</t>
  </si>
  <si>
    <t>External royalties</t>
  </si>
  <si>
    <t>Intercompany Royalties</t>
  </si>
  <si>
    <t>Travel costs - deductible</t>
  </si>
  <si>
    <t>Airplane travel costs</t>
  </si>
  <si>
    <t>Car travel costs (short term rent)</t>
  </si>
  <si>
    <t>Hotel costs</t>
  </si>
  <si>
    <t>Public transport costs</t>
  </si>
  <si>
    <t>Travel meals (restaurant, other)</t>
  </si>
  <si>
    <t>Tax free travel allowance (per diem)</t>
  </si>
  <si>
    <t>Taxable travel allowance (per diem)</t>
  </si>
  <si>
    <t>Mileage</t>
  </si>
  <si>
    <t>Gifts - deductible</t>
  </si>
  <si>
    <t>Gifts - non deductible</t>
  </si>
  <si>
    <t>Rent of external warehouse - Packed</t>
  </si>
  <si>
    <t>Rent of external warehouse - Bulk</t>
  </si>
  <si>
    <t>Rent of external warehouse - Container</t>
  </si>
  <si>
    <t>External warehouses - other than variab</t>
  </si>
  <si>
    <t>External warehouses - packaging service</t>
  </si>
  <si>
    <t>Warehouse handling variable costs</t>
  </si>
  <si>
    <t>Rent of Transshipment center</t>
  </si>
  <si>
    <t>Transhipment center - bulk Container st</t>
  </si>
  <si>
    <t>Container rent - variable cost</t>
  </si>
  <si>
    <t>IC commission/sales support paid-Consol</t>
  </si>
  <si>
    <t>Maintenance &amp; repair cost plants, build</t>
  </si>
  <si>
    <t>Software costs</t>
  </si>
  <si>
    <t>Facility management - services (fixed)</t>
  </si>
  <si>
    <t>Postal services (postage, courier)</t>
  </si>
  <si>
    <t>Telephone, fax</t>
  </si>
  <si>
    <t>Mobile phones</t>
  </si>
  <si>
    <t>Data communication</t>
  </si>
  <si>
    <t>Communication equipment</t>
  </si>
  <si>
    <t>Rent of cars</t>
  </si>
  <si>
    <t>Insurance cost cars &amp; other vehicles</t>
  </si>
  <si>
    <t>Other car costs</t>
  </si>
  <si>
    <t>Rent of land</t>
  </si>
  <si>
    <t>Rent of buildings</t>
  </si>
  <si>
    <t>Rent of houses for expatriates</t>
  </si>
  <si>
    <t>Lawyers fee</t>
  </si>
  <si>
    <t>Audit fee</t>
  </si>
  <si>
    <t>Other fee to external auditors</t>
  </si>
  <si>
    <t>Consultant fee</t>
  </si>
  <si>
    <t>Notary fee</t>
  </si>
  <si>
    <t>Cleaning</t>
  </si>
  <si>
    <t>External warehouses - repackaging servi</t>
  </si>
  <si>
    <t>Safety external services</t>
  </si>
  <si>
    <t>Intercompany R&amp;D expensed costs</t>
  </si>
  <si>
    <t>IT service costs external</t>
  </si>
  <si>
    <t>External Manpower</t>
  </si>
  <si>
    <t>Contractor services</t>
  </si>
  <si>
    <t>Planning fee external</t>
  </si>
  <si>
    <t>Transhipment center - Repackaging costs</t>
  </si>
  <si>
    <t>Transhipment center - Packaging service</t>
  </si>
  <si>
    <t>Transhipment center - bulk storage</t>
  </si>
  <si>
    <t>Other Services</t>
  </si>
  <si>
    <t>Bank Charges - Treasury &amp; liquidity</t>
  </si>
  <si>
    <t>Bank Charges - Commercial</t>
  </si>
  <si>
    <t>External seminars and events</t>
  </si>
  <si>
    <t>Other Training fee</t>
  </si>
  <si>
    <t>Other variable production costs</t>
  </si>
  <si>
    <t>Rent of office equipment</t>
  </si>
  <si>
    <t>Refuse (waste) garbage</t>
  </si>
  <si>
    <t>Other office costs-Electricity/water/ot</t>
  </si>
  <si>
    <t>Stationery / office supplies</t>
  </si>
  <si>
    <t>Print and production services</t>
  </si>
  <si>
    <t>Photography</t>
  </si>
  <si>
    <t>Consumption other equipment</t>
  </si>
  <si>
    <t>External Services</t>
  </si>
  <si>
    <t>Gardening costs</t>
  </si>
  <si>
    <t>Recruitment costs</t>
  </si>
  <si>
    <t>Studies or research</t>
  </si>
  <si>
    <t>Packaging waste fee own products sold</t>
  </si>
  <si>
    <t>Other distribution costs</t>
  </si>
  <si>
    <t>Sponsoring</t>
  </si>
  <si>
    <t>Entertainment - deductible</t>
  </si>
  <si>
    <t>Entertainment - non deductible</t>
  </si>
  <si>
    <t>Membership - deductible</t>
  </si>
  <si>
    <t>Membership - non deductible</t>
  </si>
  <si>
    <t>Donations - deductible</t>
  </si>
  <si>
    <t>Management fee, intercompany</t>
  </si>
  <si>
    <t>Fixed costs to be reinvoiced -IC (Profi</t>
  </si>
  <si>
    <t>I/C costs from software reinvoicing</t>
  </si>
  <si>
    <t>School fees</t>
  </si>
  <si>
    <t>Expenses for expatriates</t>
  </si>
  <si>
    <t>Write off bad debts</t>
  </si>
  <si>
    <t>Provision for bad debts</t>
  </si>
  <si>
    <t>Stamp taxes</t>
  </si>
  <si>
    <t>Foreign VAT in non-registered countries</t>
  </si>
  <si>
    <t>Public taxes - deductable</t>
  </si>
  <si>
    <t>Environmental taxes</t>
  </si>
  <si>
    <t>Fines</t>
  </si>
  <si>
    <t>Re-invoicing of software to be capitali</t>
  </si>
  <si>
    <t>Realized loss on clearing OI - small di</t>
  </si>
  <si>
    <t>Calculation differences - AccountsPayab</t>
  </si>
  <si>
    <t>Realized gain on clearing OI - small di</t>
  </si>
  <si>
    <t>Profit/Loss of associated companies</t>
  </si>
  <si>
    <t>Dividends received</t>
  </si>
  <si>
    <t>Fixed Costs - Realized gain FX Hedges</t>
  </si>
  <si>
    <t>Interest income - short term - External</t>
  </si>
  <si>
    <t>Interest income market securities/fin.i</t>
  </si>
  <si>
    <t>Interest income on derivatives - FRA</t>
  </si>
  <si>
    <t>Interest rate CF hedges positive fair v</t>
  </si>
  <si>
    <t>Interest income short term - intercompa</t>
  </si>
  <si>
    <t>Interest income - long term - intercomp</t>
  </si>
  <si>
    <t>Interest income - deposits</t>
  </si>
  <si>
    <t>Realized gain on FX hedges</t>
  </si>
  <si>
    <t>Realized gain on I/C short term deposit</t>
  </si>
  <si>
    <t>Other financial income</t>
  </si>
  <si>
    <t>Overdue interests - Accounts Receivable</t>
  </si>
  <si>
    <t>Depreciation of financial assets</t>
  </si>
  <si>
    <t>Write off subsidiaries and other financ</t>
  </si>
  <si>
    <t>Interest expenses - short term - extern</t>
  </si>
  <si>
    <t>Interest cost on derivatives FRA</t>
  </si>
  <si>
    <t>Interest rate CF hedges negative fair v</t>
  </si>
  <si>
    <t>Interest expenses - long term - externa</t>
  </si>
  <si>
    <t>Interest expenses - short term - interc</t>
  </si>
  <si>
    <t>Interest expenses - long term - interco</t>
  </si>
  <si>
    <t>Interest expenses - Securitisation</t>
  </si>
  <si>
    <t>Realized loss on FX hedges</t>
  </si>
  <si>
    <t>Realized loss on MM Exchange rate diff</t>
  </si>
  <si>
    <t>Realized loss on I/C financial transact</t>
  </si>
  <si>
    <t>Realized loss on intercompany trade/ pa</t>
  </si>
  <si>
    <t>Realized loss on intercompany trade/ re</t>
  </si>
  <si>
    <t>Realized loss on I/C short term deposit</t>
  </si>
  <si>
    <t>Realized loss on external financial tra</t>
  </si>
  <si>
    <t>Realized loss on external bankaccounts</t>
  </si>
  <si>
    <t>Realized loss on external trade/ payabl</t>
  </si>
  <si>
    <t>Realized loss on external trade/ receiv</t>
  </si>
  <si>
    <t>Realized loss on external short term de</t>
  </si>
  <si>
    <t>Unrealized loss on I/C financial transa</t>
  </si>
  <si>
    <t>Unrealized loss on I/C (internal) bank</t>
  </si>
  <si>
    <t>Unrealized loss on intercompany trade/</t>
  </si>
  <si>
    <t>Unrealized loss on I/C short term depos</t>
  </si>
  <si>
    <t>Unrealized loss on external financial t</t>
  </si>
  <si>
    <t>Unrealized loss on external bank accoun</t>
  </si>
  <si>
    <t>Unrealized loss on external trade/payab</t>
  </si>
  <si>
    <t>Unrealized loss on external trade/recei</t>
  </si>
  <si>
    <t>Unrealized loss on external long term p</t>
  </si>
  <si>
    <t>Unrealized loss on ext short term depos</t>
  </si>
  <si>
    <t>Other financial expenses</t>
  </si>
  <si>
    <t>Overdue interests - Accounts Payable</t>
  </si>
  <si>
    <t>Interests - Fiscal</t>
  </si>
  <si>
    <t>Securitisation – Other financial expens</t>
  </si>
  <si>
    <t>Income tax paid &amp; witholding tax due/pa</t>
  </si>
  <si>
    <t>Income tax paid on the result of prior</t>
  </si>
  <si>
    <t>Profit/Loss</t>
  </si>
  <si>
    <t>Account</t>
  </si>
  <si>
    <t>Description</t>
  </si>
  <si>
    <t>Current Period</t>
  </si>
  <si>
    <t>PY Period</t>
  </si>
  <si>
    <t>614500</t>
  </si>
  <si>
    <t>614510</t>
  </si>
  <si>
    <t>653010</t>
  </si>
  <si>
    <t>653015</t>
  </si>
  <si>
    <t>701100</t>
  </si>
  <si>
    <t>701113</t>
  </si>
  <si>
    <t>701150</t>
  </si>
  <si>
    <t>701200</t>
  </si>
  <si>
    <t>701250</t>
  </si>
  <si>
    <t>701300</t>
  </si>
  <si>
    <t>701410</t>
  </si>
  <si>
    <t>701420</t>
  </si>
  <si>
    <t>708000</t>
  </si>
  <si>
    <t>708050</t>
  </si>
  <si>
    <t>708051</t>
  </si>
  <si>
    <t>708100</t>
  </si>
  <si>
    <t>731205</t>
  </si>
  <si>
    <t>Main Revenue</t>
  </si>
  <si>
    <t/>
  </si>
  <si>
    <t>701400</t>
  </si>
  <si>
    <t>701450</t>
  </si>
  <si>
    <t>705300</t>
  </si>
  <si>
    <t>731250</t>
  </si>
  <si>
    <t>Other Revenue</t>
  </si>
  <si>
    <t>605100</t>
  </si>
  <si>
    <t>605105</t>
  </si>
  <si>
    <t>605106</t>
  </si>
  <si>
    <t>605107</t>
  </si>
  <si>
    <t>605108</t>
  </si>
  <si>
    <t>605109</t>
  </si>
  <si>
    <t>605110</t>
  </si>
  <si>
    <t>605114</t>
  </si>
  <si>
    <t>605115</t>
  </si>
  <si>
    <t>605200</t>
  </si>
  <si>
    <t>605203</t>
  </si>
  <si>
    <t>605204</t>
  </si>
  <si>
    <t>605205</t>
  </si>
  <si>
    <t>609060</t>
  </si>
  <si>
    <t>609135</t>
  </si>
  <si>
    <t>609711</t>
  </si>
  <si>
    <t>609720</t>
  </si>
  <si>
    <t>609730</t>
  </si>
  <si>
    <t>609731</t>
  </si>
  <si>
    <t>609732</t>
  </si>
  <si>
    <t>609733</t>
  </si>
  <si>
    <t>609805</t>
  </si>
  <si>
    <t>609810</t>
  </si>
  <si>
    <t>609840</t>
  </si>
  <si>
    <t>609860</t>
  </si>
  <si>
    <t>712000</t>
  </si>
  <si>
    <t>713000</t>
  </si>
  <si>
    <t>713005</t>
  </si>
  <si>
    <t>713010</t>
  </si>
  <si>
    <t>731210</t>
  </si>
  <si>
    <t>731220</t>
  </si>
  <si>
    <t>Change in Inventory</t>
  </si>
  <si>
    <t>705360</t>
  </si>
  <si>
    <t>705400</t>
  </si>
  <si>
    <t>708005</t>
  </si>
  <si>
    <t>708006</t>
  </si>
  <si>
    <t>708055</t>
  </si>
  <si>
    <t>708056</t>
  </si>
  <si>
    <t>731201</t>
  </si>
  <si>
    <t>735400</t>
  </si>
  <si>
    <t>740200</t>
  </si>
  <si>
    <t>749000</t>
  </si>
  <si>
    <t>749010</t>
  </si>
  <si>
    <t>749910</t>
  </si>
  <si>
    <t>749920</t>
  </si>
  <si>
    <t>749950</t>
  </si>
  <si>
    <t>754900</t>
  </si>
  <si>
    <t>754912</t>
  </si>
  <si>
    <t>754914</t>
  </si>
  <si>
    <t>754920</t>
  </si>
  <si>
    <t>754921</t>
  </si>
  <si>
    <t>754922</t>
  </si>
  <si>
    <t>754924</t>
  </si>
  <si>
    <t>754929</t>
  </si>
  <si>
    <t>755910</t>
  </si>
  <si>
    <t>755911</t>
  </si>
  <si>
    <t>755912</t>
  </si>
  <si>
    <t>755914</t>
  </si>
  <si>
    <t>755919</t>
  </si>
  <si>
    <t>755920</t>
  </si>
  <si>
    <t>755921</t>
  </si>
  <si>
    <t>755922</t>
  </si>
  <si>
    <t>755924</t>
  </si>
  <si>
    <t>755926</t>
  </si>
  <si>
    <t>755929</t>
  </si>
  <si>
    <t>755930</t>
  </si>
  <si>
    <t>Other Income Total</t>
  </si>
  <si>
    <t>600000</t>
  </si>
  <si>
    <t>600010</t>
  </si>
  <si>
    <t>600020</t>
  </si>
  <si>
    <t>600030</t>
  </si>
  <si>
    <t>600051</t>
  </si>
  <si>
    <t>600060</t>
  </si>
  <si>
    <t>600061</t>
  </si>
  <si>
    <t>600062</t>
  </si>
  <si>
    <t>600063</t>
  </si>
  <si>
    <t>600064</t>
  </si>
  <si>
    <t>600065</t>
  </si>
  <si>
    <t>600066</t>
  </si>
  <si>
    <t>600090</t>
  </si>
  <si>
    <t>600100</t>
  </si>
  <si>
    <t>600110</t>
  </si>
  <si>
    <t>600200</t>
  </si>
  <si>
    <t>600205</t>
  </si>
  <si>
    <t>600210</t>
  </si>
  <si>
    <t>600215</t>
  </si>
  <si>
    <t>600220</t>
  </si>
  <si>
    <t>600225</t>
  </si>
  <si>
    <t>600230</t>
  </si>
  <si>
    <t>600250</t>
  </si>
  <si>
    <t>600270</t>
  </si>
  <si>
    <t>600271</t>
  </si>
  <si>
    <t>600275</t>
  </si>
  <si>
    <t>600276</t>
  </si>
  <si>
    <t>600279</t>
  </si>
  <si>
    <t>600300</t>
  </si>
  <si>
    <t>600400</t>
  </si>
  <si>
    <t>600420</t>
  </si>
  <si>
    <t>600450</t>
  </si>
  <si>
    <t>600510</t>
  </si>
  <si>
    <t>600520</t>
  </si>
  <si>
    <t>600540</t>
  </si>
  <si>
    <t>600541</t>
  </si>
  <si>
    <t>600990</t>
  </si>
  <si>
    <t>601350</t>
  </si>
  <si>
    <t>601560</t>
  </si>
  <si>
    <t>603000</t>
  </si>
  <si>
    <t>603051</t>
  </si>
  <si>
    <t>603060</t>
  </si>
  <si>
    <t>604555</t>
  </si>
  <si>
    <t>604920</t>
  </si>
  <si>
    <t>608001</t>
  </si>
  <si>
    <t>609000</t>
  </si>
  <si>
    <t>609010</t>
  </si>
  <si>
    <t>609078</t>
  </si>
  <si>
    <t>609205</t>
  </si>
  <si>
    <t>609750</t>
  </si>
  <si>
    <t>609800</t>
  </si>
  <si>
    <t>609820</t>
  </si>
  <si>
    <t>609990</t>
  </si>
  <si>
    <t>612200</t>
  </si>
  <si>
    <t>613065</t>
  </si>
  <si>
    <t>619735</t>
  </si>
  <si>
    <t>731110</t>
  </si>
  <si>
    <t>731200</t>
  </si>
  <si>
    <t>757000</t>
  </si>
  <si>
    <t>Material</t>
  </si>
  <si>
    <t>601900</t>
  </si>
  <si>
    <t>601905</t>
  </si>
  <si>
    <t>612120</t>
  </si>
  <si>
    <t>612600</t>
  </si>
  <si>
    <t>Other Material</t>
  </si>
  <si>
    <t>605104</t>
  </si>
  <si>
    <t>605201</t>
  </si>
  <si>
    <t>605202</t>
  </si>
  <si>
    <t>605206</t>
  </si>
  <si>
    <t>605209</t>
  </si>
  <si>
    <t>605272</t>
  </si>
  <si>
    <t>Material Total</t>
  </si>
  <si>
    <t>601300</t>
  </si>
  <si>
    <t>601310</t>
  </si>
  <si>
    <t>601320</t>
  </si>
  <si>
    <t>601330</t>
  </si>
  <si>
    <t>601340</t>
  </si>
  <si>
    <t>601700</t>
  </si>
  <si>
    <t>601950</t>
  </si>
  <si>
    <t>Energy</t>
  </si>
  <si>
    <t>604101</t>
  </si>
  <si>
    <t>609850</t>
  </si>
  <si>
    <t>Resale Goods</t>
  </si>
  <si>
    <t>613412</t>
  </si>
  <si>
    <t>Expense for Services</t>
  </si>
  <si>
    <t>620100</t>
  </si>
  <si>
    <t>620110</t>
  </si>
  <si>
    <t>620200</t>
  </si>
  <si>
    <t>620220</t>
  </si>
  <si>
    <t>620300</t>
  </si>
  <si>
    <t>620321</t>
  </si>
  <si>
    <t>620400</t>
  </si>
  <si>
    <t>620700</t>
  </si>
  <si>
    <t>Salaries</t>
  </si>
  <si>
    <t>621130</t>
  </si>
  <si>
    <t>622020</t>
  </si>
  <si>
    <t>Expenses Pensions</t>
  </si>
  <si>
    <t>621000</t>
  </si>
  <si>
    <t>621110</t>
  </si>
  <si>
    <t>621140</t>
  </si>
  <si>
    <t>621160</t>
  </si>
  <si>
    <t>621180</t>
  </si>
  <si>
    <t>Social Costs</t>
  </si>
  <si>
    <t>612800</t>
  </si>
  <si>
    <t>620600</t>
  </si>
  <si>
    <t>620610</t>
  </si>
  <si>
    <t>623430</t>
  </si>
  <si>
    <t>623445</t>
  </si>
  <si>
    <t>623500</t>
  </si>
  <si>
    <t>Other Social Costs</t>
  </si>
  <si>
    <t>630100</t>
  </si>
  <si>
    <t>630130</t>
  </si>
  <si>
    <t>630200</t>
  </si>
  <si>
    <t>Depreciation</t>
  </si>
  <si>
    <t>Depreciation Total</t>
  </si>
  <si>
    <t>640830</t>
  </si>
  <si>
    <t>Other taxes</t>
  </si>
  <si>
    <t>600525</t>
  </si>
  <si>
    <t>614100</t>
  </si>
  <si>
    <t>614101</t>
  </si>
  <si>
    <t>614102</t>
  </si>
  <si>
    <t>614103</t>
  </si>
  <si>
    <t>614104</t>
  </si>
  <si>
    <t>614111</t>
  </si>
  <si>
    <t>614160</t>
  </si>
  <si>
    <t>614170</t>
  </si>
  <si>
    <t>614181</t>
  </si>
  <si>
    <t>614200</t>
  </si>
  <si>
    <t>614250</t>
  </si>
  <si>
    <t>614426</t>
  </si>
  <si>
    <t>614501</t>
  </si>
  <si>
    <t>614550</t>
  </si>
  <si>
    <t>Freight</t>
  </si>
  <si>
    <t>615108</t>
  </si>
  <si>
    <t>615200</t>
  </si>
  <si>
    <t>615220</t>
  </si>
  <si>
    <t>615240</t>
  </si>
  <si>
    <t>613501</t>
  </si>
  <si>
    <t>613510</t>
  </si>
  <si>
    <t>613550</t>
  </si>
  <si>
    <t>613570</t>
  </si>
  <si>
    <t>622000</t>
  </si>
  <si>
    <t>Insurance</t>
  </si>
  <si>
    <t>613400</t>
  </si>
  <si>
    <t>613410</t>
  </si>
  <si>
    <t>613411</t>
  </si>
  <si>
    <t>Licenses</t>
  </si>
  <si>
    <t>615100</t>
  </si>
  <si>
    <t>615102</t>
  </si>
  <si>
    <t>615104</t>
  </si>
  <si>
    <t>615105</t>
  </si>
  <si>
    <t>615106</t>
  </si>
  <si>
    <t>615107</t>
  </si>
  <si>
    <t>615109</t>
  </si>
  <si>
    <t>615110</t>
  </si>
  <si>
    <t>615180</t>
  </si>
  <si>
    <t>615300</t>
  </si>
  <si>
    <t>615310</t>
  </si>
  <si>
    <t>Travel Expenses</t>
  </si>
  <si>
    <t>610130</t>
  </si>
  <si>
    <t>610131</t>
  </si>
  <si>
    <t>610132</t>
  </si>
  <si>
    <t>613040</t>
  </si>
  <si>
    <t>613042</t>
  </si>
  <si>
    <t>614407</t>
  </si>
  <si>
    <t>614450</t>
  </si>
  <si>
    <t>614452</t>
  </si>
  <si>
    <t>614460</t>
  </si>
  <si>
    <t>Storage</t>
  </si>
  <si>
    <t>619100</t>
  </si>
  <si>
    <t>Commissions</t>
  </si>
  <si>
    <t>611510</t>
  </si>
  <si>
    <t>612500</t>
  </si>
  <si>
    <t>613032</t>
  </si>
  <si>
    <t>Maintenance</t>
  </si>
  <si>
    <t>616100</t>
  </si>
  <si>
    <t>616200</t>
  </si>
  <si>
    <t>616210</t>
  </si>
  <si>
    <t>616300</t>
  </si>
  <si>
    <t>616310</t>
  </si>
  <si>
    <t>Telephone and Postal</t>
  </si>
  <si>
    <t>610200</t>
  </si>
  <si>
    <t>613530</t>
  </si>
  <si>
    <t>615160</t>
  </si>
  <si>
    <t>Vehicles</t>
  </si>
  <si>
    <t>610100</t>
  </si>
  <si>
    <t>610110</t>
  </si>
  <si>
    <t>610120</t>
  </si>
  <si>
    <t>Rent</t>
  </si>
  <si>
    <t>613200</t>
  </si>
  <si>
    <t>613210</t>
  </si>
  <si>
    <t>613215</t>
  </si>
  <si>
    <t>613220</t>
  </si>
  <si>
    <t>613260</t>
  </si>
  <si>
    <t>Legal and Tax Consulting</t>
  </si>
  <si>
    <t>611700</t>
  </si>
  <si>
    <t>613043</t>
  </si>
  <si>
    <t>613057</t>
  </si>
  <si>
    <t>613066</t>
  </si>
  <si>
    <t>613069</t>
  </si>
  <si>
    <t>613070</t>
  </si>
  <si>
    <t>613075</t>
  </si>
  <si>
    <t>613240</t>
  </si>
  <si>
    <t>614301</t>
  </si>
  <si>
    <t>614302</t>
  </si>
  <si>
    <t>614451</t>
  </si>
  <si>
    <t>650900</t>
  </si>
  <si>
    <t>650910</t>
  </si>
  <si>
    <t>Bank Fees</t>
  </si>
  <si>
    <t>615210</t>
  </si>
  <si>
    <t>623260</t>
  </si>
  <si>
    <t>Seminars and Training</t>
  </si>
  <si>
    <t>601959</t>
  </si>
  <si>
    <t>610500</t>
  </si>
  <si>
    <t>611800</t>
  </si>
  <si>
    <t>612110</t>
  </si>
  <si>
    <t>612300</t>
  </si>
  <si>
    <t>612400</t>
  </si>
  <si>
    <t>612410</t>
  </si>
  <si>
    <t>612650</t>
  </si>
  <si>
    <t>613060</t>
  </si>
  <si>
    <t>613062</t>
  </si>
  <si>
    <t>613225</t>
  </si>
  <si>
    <t>613230</t>
  </si>
  <si>
    <t>614310</t>
  </si>
  <si>
    <t>614401</t>
  </si>
  <si>
    <t>615260</t>
  </si>
  <si>
    <t>615320</t>
  </si>
  <si>
    <t>615330</t>
  </si>
  <si>
    <t>615400</t>
  </si>
  <si>
    <t>615410</t>
  </si>
  <si>
    <t>615510</t>
  </si>
  <si>
    <t>619201</t>
  </si>
  <si>
    <t>619901</t>
  </si>
  <si>
    <t>619902</t>
  </si>
  <si>
    <t>620630</t>
  </si>
  <si>
    <t>623520</t>
  </si>
  <si>
    <t>634100</t>
  </si>
  <si>
    <t>634151</t>
  </si>
  <si>
    <t>640100</t>
  </si>
  <si>
    <t>640300</t>
  </si>
  <si>
    <t>640500</t>
  </si>
  <si>
    <t>640900</t>
  </si>
  <si>
    <t>644000</t>
  </si>
  <si>
    <t>649300</t>
  </si>
  <si>
    <t>654940</t>
  </si>
  <si>
    <t>656101</t>
  </si>
  <si>
    <t>754940</t>
  </si>
  <si>
    <t>Other Expenses</t>
  </si>
  <si>
    <t>Other Fixed Expenses</t>
  </si>
  <si>
    <t>747000</t>
  </si>
  <si>
    <t>750000</t>
  </si>
  <si>
    <t>Erträge aus Beteiligungen</t>
  </si>
  <si>
    <t>613903</t>
  </si>
  <si>
    <t>751000</t>
  </si>
  <si>
    <t>751010</t>
  </si>
  <si>
    <t>751020</t>
  </si>
  <si>
    <t>751022</t>
  </si>
  <si>
    <t>751200</t>
  </si>
  <si>
    <t>751300</t>
  </si>
  <si>
    <t>751600</t>
  </si>
  <si>
    <t>754305</t>
  </si>
  <si>
    <t>754919</t>
  </si>
  <si>
    <t>756000</t>
  </si>
  <si>
    <t>756300</t>
  </si>
  <si>
    <t>Interest Income</t>
  </si>
  <si>
    <t>630300</t>
  </si>
  <si>
    <t>656200</t>
  </si>
  <si>
    <t>Finance Expenses</t>
  </si>
  <si>
    <t>650000</t>
  </si>
  <si>
    <t>650020</t>
  </si>
  <si>
    <t>650022</t>
  </si>
  <si>
    <t>650100</t>
  </si>
  <si>
    <t>650200</t>
  </si>
  <si>
    <t>650300</t>
  </si>
  <si>
    <t>650700</t>
  </si>
  <si>
    <t>654305</t>
  </si>
  <si>
    <t>654900</t>
  </si>
  <si>
    <t>654910</t>
  </si>
  <si>
    <t>654912</t>
  </si>
  <si>
    <t>654914</t>
  </si>
  <si>
    <t>654919</t>
  </si>
  <si>
    <t>654920</t>
  </si>
  <si>
    <t>654921</t>
  </si>
  <si>
    <t>654922</t>
  </si>
  <si>
    <t>654924</t>
  </si>
  <si>
    <t>654929</t>
  </si>
  <si>
    <t>655910</t>
  </si>
  <si>
    <t>655911</t>
  </si>
  <si>
    <t>655912</t>
  </si>
  <si>
    <t>655914</t>
  </si>
  <si>
    <t>655919</t>
  </si>
  <si>
    <t>655920</t>
  </si>
  <si>
    <t>655921</t>
  </si>
  <si>
    <t>655922</t>
  </si>
  <si>
    <t>655924</t>
  </si>
  <si>
    <t>655927</t>
  </si>
  <si>
    <t>655929</t>
  </si>
  <si>
    <t>656000</t>
  </si>
  <si>
    <t>656300</t>
  </si>
  <si>
    <t>656310</t>
  </si>
  <si>
    <t>656700</t>
  </si>
  <si>
    <t>Interest expenses</t>
  </si>
  <si>
    <t>Financial result</t>
  </si>
  <si>
    <t>670000</t>
  </si>
  <si>
    <t>671000</t>
  </si>
  <si>
    <t>Corporate Income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</si>
</sst>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72" formatCode="_-[$€-2]\ * #,##0.00_-;\-[$€-2]\ * #,##0.00_-;_-[$€-2]\ * &quot;-&quot;??_-;_-@_-"/>
    <numFmt numFmtId="177" formatCode="\€#,##0;\(\€#,##0\);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NumberFormat="1"/>
    <xf numFmtId="9" fontId="0" fillId="0" borderId="0" xfId="3" applyFont="1"/>
    <xf numFmtId="172" fontId="0" fillId="0" borderId="0" xfId="2" applyNumberFormat="1" applyFont="1"/>
    <xf numFmtId="177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BF564E-F638-473F-9579-4C5F5D3E9A43}" autoFormatId="16" applyNumberFormats="0" applyBorderFormats="0" applyFontFormats="0" applyPatternFormats="0" applyAlignmentFormats="0" applyWidthHeightFormats="0">
  <queryTableRefresh nextId="5">
    <queryTableFields count="4">
      <queryTableField id="1" name="Account" tableColumnId="1"/>
      <queryTableField id="2" name="Description" tableColumnId="2"/>
      <queryTableField id="3" name="Current Period" tableColumnId="3"/>
      <queryTableField id="4" name="PY Perio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9F907-A83C-4FF8-8BE6-7F2860241CB1}" name="CleanData" displayName="CleanData" ref="F1:I408" tableType="queryTable" totalsRowShown="0">
  <autoFilter ref="F1:I408" xr:uid="{1DA9F907-A83C-4FF8-8BE6-7F2860241CB1}"/>
  <tableColumns count="4">
    <tableColumn id="1" xr3:uid="{398544E6-F648-4A59-A64B-3FECE581BA95}" uniqueName="1" name="Account" queryTableFieldId="1" dataDxfId="1"/>
    <tableColumn id="2" xr3:uid="{E33A3663-E74C-423D-BBCC-9ED48F027467}" uniqueName="2" name="Description" queryTableFieldId="2" dataDxfId="0"/>
    <tableColumn id="3" xr3:uid="{7BFD3488-82DA-4830-A7A5-ED39278216CB}" uniqueName="3" name="Current Period" queryTableFieldId="3"/>
    <tableColumn id="4" xr3:uid="{C0784C3E-6689-4081-B748-E951B8B1D2D3}" uniqueName="4" name="PY Perio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18B2-77DC-4B42-BB87-3DFCC8894212}">
  <dimension ref="A1:I408"/>
  <sheetViews>
    <sheetView tabSelected="1" workbookViewId="0">
      <selection activeCell="B23" sqref="B23"/>
    </sheetView>
  </sheetViews>
  <sheetFormatPr defaultRowHeight="14.4" x14ac:dyDescent="0.3"/>
  <cols>
    <col min="1" max="1" width="30.5546875" customWidth="1"/>
    <col min="2" max="2" width="19.44140625" customWidth="1"/>
    <col min="3" max="3" width="18.77734375" customWidth="1"/>
    <col min="6" max="6" width="22.5546875" bestFit="1" customWidth="1"/>
    <col min="7" max="7" width="35.109375" bestFit="1" customWidth="1"/>
    <col min="8" max="8" width="15.33203125" bestFit="1" customWidth="1"/>
    <col min="9" max="9" width="12.6640625" bestFit="1" customWidth="1"/>
  </cols>
  <sheetData>
    <row r="1" spans="1:9" x14ac:dyDescent="0.3">
      <c r="F1" t="s">
        <v>374</v>
      </c>
      <c r="G1" t="s">
        <v>375</v>
      </c>
      <c r="H1" t="s">
        <v>376</v>
      </c>
      <c r="I1" t="s">
        <v>377</v>
      </c>
    </row>
    <row r="2" spans="1:9" x14ac:dyDescent="0.3">
      <c r="B2" s="2" t="s">
        <v>11</v>
      </c>
      <c r="C2" s="2" t="s">
        <v>12</v>
      </c>
      <c r="F2" s="3" t="s">
        <v>378</v>
      </c>
      <c r="G2" s="3" t="s">
        <v>13</v>
      </c>
      <c r="H2">
        <v>662102.14</v>
      </c>
      <c r="I2">
        <v>2063602.17</v>
      </c>
    </row>
    <row r="3" spans="1:9" x14ac:dyDescent="0.3">
      <c r="A3" s="1" t="s">
        <v>0</v>
      </c>
      <c r="B3" s="6">
        <f>-VLOOKUP($A3,CleanData[],3,0)</f>
        <v>3170716578.2800002</v>
      </c>
      <c r="C3" s="6">
        <f>-VLOOKUP($A3,CleanData[],4,0)</f>
        <v>7072023230.3699999</v>
      </c>
      <c r="F3" s="3" t="s">
        <v>379</v>
      </c>
      <c r="G3" s="3" t="s">
        <v>14</v>
      </c>
      <c r="H3">
        <v>639963.74</v>
      </c>
      <c r="I3">
        <v>640412.6</v>
      </c>
    </row>
    <row r="4" spans="1:9" x14ac:dyDescent="0.3">
      <c r="A4" s="1" t="s">
        <v>1</v>
      </c>
      <c r="B4" s="6">
        <f>-VLOOKUP($A4,CleanData[],3,0)</f>
        <v>-2910046520.2399998</v>
      </c>
      <c r="C4" s="6">
        <f>-VLOOKUP($A4,CleanData[],4,0)</f>
        <v>-6468010773.2399998</v>
      </c>
      <c r="F4" s="3" t="s">
        <v>380</v>
      </c>
      <c r="G4" s="3" t="s">
        <v>15</v>
      </c>
      <c r="H4">
        <v>6798579.1299999999</v>
      </c>
      <c r="I4">
        <v>22549990.899999999</v>
      </c>
    </row>
    <row r="5" spans="1:9" x14ac:dyDescent="0.3">
      <c r="A5" s="1" t="s">
        <v>2</v>
      </c>
      <c r="B5" s="4">
        <f>B4/B$3</f>
        <v>-0.91778828173238858</v>
      </c>
      <c r="C5" s="4">
        <f>C4/C$3</f>
        <v>-0.91459127926275219</v>
      </c>
      <c r="F5" s="3" t="s">
        <v>381</v>
      </c>
      <c r="G5" s="3" t="s">
        <v>16</v>
      </c>
      <c r="H5">
        <v>337335.41</v>
      </c>
      <c r="I5">
        <v>2925079.39</v>
      </c>
    </row>
    <row r="6" spans="1:9" x14ac:dyDescent="0.3">
      <c r="A6" s="1"/>
      <c r="F6" s="3" t="s">
        <v>382</v>
      </c>
      <c r="G6" s="3" t="s">
        <v>17</v>
      </c>
      <c r="H6">
        <v>-1978936866.74</v>
      </c>
      <c r="I6">
        <v>-4981942018.4300003</v>
      </c>
    </row>
    <row r="7" spans="1:9" x14ac:dyDescent="0.3">
      <c r="A7" s="1" t="s">
        <v>3</v>
      </c>
      <c r="B7" s="6">
        <f>-VLOOKUP($A7,CleanData[],3,0)</f>
        <v>-31653849.690000001</v>
      </c>
      <c r="C7" s="6">
        <f>-VLOOKUP($A7,CleanData[],4,0)</f>
        <v>-60490057.890000001</v>
      </c>
      <c r="F7" s="3" t="s">
        <v>383</v>
      </c>
      <c r="G7" s="3" t="s">
        <v>18</v>
      </c>
      <c r="H7">
        <v>12284522.34</v>
      </c>
      <c r="I7">
        <v>518581.25</v>
      </c>
    </row>
    <row r="8" spans="1:9" x14ac:dyDescent="0.3">
      <c r="A8" s="1" t="s">
        <v>4</v>
      </c>
      <c r="B8" s="4">
        <f>B7/B$3</f>
        <v>-9.9831848443455249E-3</v>
      </c>
      <c r="C8" s="4">
        <f>C7/C$3</f>
        <v>-8.5534303154198247E-3</v>
      </c>
      <c r="F8" s="3" t="s">
        <v>384</v>
      </c>
      <c r="G8" s="3" t="s">
        <v>19</v>
      </c>
      <c r="H8">
        <v>-15313807.17</v>
      </c>
      <c r="I8">
        <v>-24618637.77</v>
      </c>
    </row>
    <row r="9" spans="1:9" x14ac:dyDescent="0.3">
      <c r="A9" s="1"/>
      <c r="F9" s="3" t="s">
        <v>385</v>
      </c>
      <c r="G9" s="3" t="s">
        <v>20</v>
      </c>
      <c r="H9">
        <v>-789655151.21000004</v>
      </c>
      <c r="I9">
        <v>-831654742.12</v>
      </c>
    </row>
    <row r="10" spans="1:9" x14ac:dyDescent="0.3">
      <c r="A10" s="1" t="s">
        <v>5</v>
      </c>
      <c r="B10" s="6">
        <f>-VLOOKUP($A10,CleanData[],3,0)</f>
        <v>-240026460.63999999</v>
      </c>
      <c r="C10" s="6">
        <f>-VLOOKUP($A10,CleanData[],4,0)</f>
        <v>-492034832.55000001</v>
      </c>
      <c r="F10" s="3" t="s">
        <v>386</v>
      </c>
      <c r="G10" s="3" t="s">
        <v>21</v>
      </c>
      <c r="H10">
        <v>-25067961.82</v>
      </c>
      <c r="I10">
        <v>-13745495.99</v>
      </c>
    </row>
    <row r="11" spans="1:9" x14ac:dyDescent="0.3">
      <c r="A11" s="1" t="s">
        <v>6</v>
      </c>
      <c r="B11" s="4">
        <f>B10/B$3</f>
        <v>-7.5701014175857284E-2</v>
      </c>
      <c r="C11" s="4">
        <f>C10/C$3</f>
        <v>-6.957483262173296E-2</v>
      </c>
      <c r="F11" s="3" t="s">
        <v>387</v>
      </c>
      <c r="G11" s="3" t="s">
        <v>22</v>
      </c>
      <c r="H11">
        <v>-83640239.030000001</v>
      </c>
      <c r="I11">
        <v>-368503501.77999997</v>
      </c>
    </row>
    <row r="12" spans="1:9" x14ac:dyDescent="0.3">
      <c r="A12" s="1"/>
      <c r="F12" s="3" t="s">
        <v>388</v>
      </c>
      <c r="G12" s="3" t="s">
        <v>23</v>
      </c>
      <c r="H12">
        <v>-14807555.619999999</v>
      </c>
      <c r="I12">
        <v>-19865327.48</v>
      </c>
    </row>
    <row r="13" spans="1:9" x14ac:dyDescent="0.3">
      <c r="A13" s="1" t="s">
        <v>7</v>
      </c>
      <c r="B13" s="6">
        <f>-VLOOKUP($A13,CleanData[],3,0)</f>
        <v>134105415.06</v>
      </c>
      <c r="C13" s="6">
        <f>-VLOOKUP($A13,CleanData[],4,0)</f>
        <v>98925833.129999995</v>
      </c>
      <c r="F13" s="3" t="s">
        <v>389</v>
      </c>
      <c r="G13" s="3" t="s">
        <v>24</v>
      </c>
      <c r="H13">
        <v>-88504906.840000004</v>
      </c>
      <c r="I13">
        <v>-140027244.66999999</v>
      </c>
    </row>
    <row r="14" spans="1:9" x14ac:dyDescent="0.3">
      <c r="A14" s="1" t="s">
        <v>8</v>
      </c>
      <c r="B14" s="4">
        <f>B13/B$3</f>
        <v>4.2294986558763119E-2</v>
      </c>
      <c r="C14" s="4">
        <f>C13/C$3</f>
        <v>1.3988335432097317E-2</v>
      </c>
      <c r="F14" s="3" t="s">
        <v>390</v>
      </c>
      <c r="G14" s="3" t="s">
        <v>25</v>
      </c>
      <c r="H14">
        <v>41577546.950000003</v>
      </c>
      <c r="I14">
        <v>68193862.75</v>
      </c>
    </row>
    <row r="15" spans="1:9" x14ac:dyDescent="0.3">
      <c r="A15" s="1"/>
      <c r="F15" s="3" t="s">
        <v>391</v>
      </c>
      <c r="G15" s="3" t="s">
        <v>26</v>
      </c>
      <c r="H15">
        <v>21230441.100000001</v>
      </c>
      <c r="I15">
        <v>63900100.640000001</v>
      </c>
    </row>
    <row r="16" spans="1:9" x14ac:dyDescent="0.3">
      <c r="A16" s="1" t="s">
        <v>9</v>
      </c>
      <c r="B16" s="6">
        <f>-VLOOKUP($A16,CleanData[],3,0)</f>
        <v>-330968873.89999998</v>
      </c>
      <c r="C16" s="6">
        <f>-VLOOKUP($A16,CleanData[],4,0)</f>
        <v>-200484560.22</v>
      </c>
      <c r="F16" s="3" t="s">
        <v>392</v>
      </c>
      <c r="G16" s="3" t="s">
        <v>27</v>
      </c>
      <c r="H16">
        <v>-41970368.18</v>
      </c>
      <c r="I16">
        <v>-68006016.25</v>
      </c>
    </row>
    <row r="17" spans="1:9" x14ac:dyDescent="0.3">
      <c r="A17" s="1" t="s">
        <v>10</v>
      </c>
      <c r="B17" s="4">
        <f>B16/B$3</f>
        <v>-0.10438298905906584</v>
      </c>
      <c r="C17" s="4">
        <f>C16/C$3</f>
        <v>-2.8348967995331497E-2</v>
      </c>
      <c r="F17" s="3" t="s">
        <v>393</v>
      </c>
      <c r="G17" s="3" t="s">
        <v>28</v>
      </c>
      <c r="H17">
        <v>3892270.5</v>
      </c>
      <c r="I17">
        <v>7306796.8700000001</v>
      </c>
    </row>
    <row r="18" spans="1:9" x14ac:dyDescent="0.3">
      <c r="F18" s="3" t="s">
        <v>394</v>
      </c>
      <c r="G18" s="3" t="s">
        <v>29</v>
      </c>
      <c r="H18">
        <v>-153551651.96000001</v>
      </c>
      <c r="I18">
        <v>-467081555.13999999</v>
      </c>
    </row>
    <row r="19" spans="1:9" x14ac:dyDescent="0.3">
      <c r="F19" s="3" t="s">
        <v>395</v>
      </c>
      <c r="G19" s="3" t="s">
        <v>396</v>
      </c>
      <c r="H19">
        <v>-3104025747.2600002</v>
      </c>
      <c r="I19">
        <v>-6747346113.0600004</v>
      </c>
    </row>
    <row r="20" spans="1:9" x14ac:dyDescent="0.3">
      <c r="F20" s="3" t="s">
        <v>397</v>
      </c>
      <c r="G20" s="3" t="s">
        <v>30</v>
      </c>
      <c r="H20">
        <v>-22062105.48</v>
      </c>
      <c r="I20">
        <v>-146224301.03999999</v>
      </c>
    </row>
    <row r="21" spans="1:9" x14ac:dyDescent="0.3">
      <c r="F21" s="3" t="s">
        <v>398</v>
      </c>
      <c r="G21" s="3" t="s">
        <v>31</v>
      </c>
      <c r="H21">
        <v>-13444775.140000001</v>
      </c>
      <c r="I21">
        <v>-44606041.950000003</v>
      </c>
    </row>
    <row r="22" spans="1:9" x14ac:dyDescent="0.3">
      <c r="B22" s="5"/>
      <c r="F22" s="3" t="s">
        <v>399</v>
      </c>
      <c r="G22" s="3" t="s">
        <v>32</v>
      </c>
      <c r="H22">
        <v>-956343.84</v>
      </c>
      <c r="I22">
        <v>-3065510.21</v>
      </c>
    </row>
    <row r="23" spans="1:9" x14ac:dyDescent="0.3">
      <c r="F23" s="3" t="s">
        <v>400</v>
      </c>
      <c r="G23" s="3" t="s">
        <v>33</v>
      </c>
      <c r="H23">
        <v>-30227606.559999999</v>
      </c>
      <c r="I23">
        <v>-130781264.11</v>
      </c>
    </row>
    <row r="24" spans="1:9" x14ac:dyDescent="0.3">
      <c r="F24" s="3" t="s">
        <v>401</v>
      </c>
      <c r="G24" s="3" t="s">
        <v>396</v>
      </c>
      <c r="H24">
        <v>-66690831.020000003</v>
      </c>
      <c r="I24">
        <v>-324677117.31</v>
      </c>
    </row>
    <row r="25" spans="1:9" x14ac:dyDescent="0.3">
      <c r="F25" s="3" t="s">
        <v>0</v>
      </c>
      <c r="G25" s="3" t="s">
        <v>396</v>
      </c>
      <c r="H25">
        <v>-3170716578.2800002</v>
      </c>
      <c r="I25">
        <v>-7072023230.3699999</v>
      </c>
    </row>
    <row r="26" spans="1:9" x14ac:dyDescent="0.3">
      <c r="F26" s="3" t="s">
        <v>402</v>
      </c>
      <c r="G26" s="3" t="s">
        <v>34</v>
      </c>
      <c r="H26">
        <v>1599166946.3699999</v>
      </c>
      <c r="I26">
        <v>4664644210.29</v>
      </c>
    </row>
    <row r="27" spans="1:9" x14ac:dyDescent="0.3">
      <c r="F27" s="3" t="s">
        <v>403</v>
      </c>
      <c r="G27" s="3" t="s">
        <v>35</v>
      </c>
      <c r="H27">
        <v>-35923655.990000002</v>
      </c>
      <c r="I27">
        <v>-83583426.980000004</v>
      </c>
    </row>
    <row r="28" spans="1:9" x14ac:dyDescent="0.3">
      <c r="F28" s="3" t="s">
        <v>404</v>
      </c>
      <c r="G28" s="3" t="s">
        <v>36</v>
      </c>
      <c r="H28">
        <v>-285182.48</v>
      </c>
      <c r="I28">
        <v>541637.24</v>
      </c>
    </row>
    <row r="29" spans="1:9" x14ac:dyDescent="0.3">
      <c r="F29" s="3" t="s">
        <v>405</v>
      </c>
      <c r="G29" s="3" t="s">
        <v>37</v>
      </c>
      <c r="H29">
        <v>-10747.08</v>
      </c>
      <c r="I29">
        <v>9364</v>
      </c>
    </row>
    <row r="30" spans="1:9" x14ac:dyDescent="0.3">
      <c r="F30" s="3" t="s">
        <v>406</v>
      </c>
      <c r="G30" s="3" t="s">
        <v>38</v>
      </c>
      <c r="H30">
        <v>40364190.649999999</v>
      </c>
      <c r="I30">
        <v>239678884.56999999</v>
      </c>
    </row>
    <row r="31" spans="1:9" x14ac:dyDescent="0.3">
      <c r="F31" s="3" t="s">
        <v>407</v>
      </c>
      <c r="G31" s="3" t="s">
        <v>39</v>
      </c>
      <c r="H31">
        <v>1633404206.98</v>
      </c>
      <c r="I31">
        <v>4841672037.46</v>
      </c>
    </row>
    <row r="32" spans="1:9" x14ac:dyDescent="0.3">
      <c r="F32" s="3" t="s">
        <v>408</v>
      </c>
      <c r="G32" s="3" t="s">
        <v>40</v>
      </c>
      <c r="H32">
        <v>477168.4</v>
      </c>
      <c r="I32">
        <v>1489559.97</v>
      </c>
    </row>
    <row r="33" spans="6:9" x14ac:dyDescent="0.3">
      <c r="F33" s="3" t="s">
        <v>409</v>
      </c>
      <c r="G33" s="3" t="s">
        <v>41</v>
      </c>
      <c r="H33">
        <v>-17635531.260000002</v>
      </c>
      <c r="I33">
        <v>-45591000.939999998</v>
      </c>
    </row>
    <row r="34" spans="6:9" x14ac:dyDescent="0.3">
      <c r="F34" s="3" t="s">
        <v>410</v>
      </c>
      <c r="G34" s="3" t="s">
        <v>42</v>
      </c>
      <c r="H34">
        <v>0</v>
      </c>
      <c r="I34">
        <v>-3127827.08</v>
      </c>
    </row>
    <row r="35" spans="6:9" x14ac:dyDescent="0.3">
      <c r="F35" s="3" t="s">
        <v>411</v>
      </c>
      <c r="G35" s="3" t="s">
        <v>43</v>
      </c>
      <c r="H35">
        <v>842734.25</v>
      </c>
      <c r="I35">
        <v>1835459.27</v>
      </c>
    </row>
    <row r="36" spans="6:9" x14ac:dyDescent="0.3">
      <c r="F36" s="3" t="s">
        <v>412</v>
      </c>
      <c r="G36" s="3" t="s">
        <v>44</v>
      </c>
      <c r="H36">
        <v>346702.76</v>
      </c>
      <c r="I36">
        <v>70789667.390000001</v>
      </c>
    </row>
    <row r="37" spans="6:9" x14ac:dyDescent="0.3">
      <c r="F37" s="3" t="s">
        <v>413</v>
      </c>
      <c r="G37" s="3" t="s">
        <v>45</v>
      </c>
      <c r="H37">
        <v>-6999864.6900000004</v>
      </c>
      <c r="I37">
        <v>6855923.3799999999</v>
      </c>
    </row>
    <row r="38" spans="6:9" x14ac:dyDescent="0.3">
      <c r="F38" s="3" t="s">
        <v>414</v>
      </c>
      <c r="G38" s="3" t="s">
        <v>46</v>
      </c>
      <c r="H38">
        <v>-392758.76</v>
      </c>
      <c r="I38">
        <v>392758.76</v>
      </c>
    </row>
    <row r="39" spans="6:9" x14ac:dyDescent="0.3">
      <c r="F39" s="3" t="s">
        <v>415</v>
      </c>
      <c r="G39" s="3" t="s">
        <v>47</v>
      </c>
      <c r="H39">
        <v>-349.8</v>
      </c>
      <c r="I39">
        <v>-5016612.17</v>
      </c>
    </row>
    <row r="40" spans="6:9" x14ac:dyDescent="0.3">
      <c r="F40" s="3" t="s">
        <v>416</v>
      </c>
      <c r="G40" s="3" t="s">
        <v>48</v>
      </c>
      <c r="H40">
        <v>-14505433.039999999</v>
      </c>
      <c r="I40">
        <v>-46590410.729999997</v>
      </c>
    </row>
    <row r="41" spans="6:9" x14ac:dyDescent="0.3">
      <c r="F41" s="3" t="s">
        <v>417</v>
      </c>
      <c r="G41" s="3" t="s">
        <v>49</v>
      </c>
      <c r="H41">
        <v>-2088269.69</v>
      </c>
      <c r="I41">
        <v>7065876</v>
      </c>
    </row>
    <row r="42" spans="6:9" x14ac:dyDescent="0.3">
      <c r="F42" s="3" t="s">
        <v>418</v>
      </c>
      <c r="G42" s="3" t="s">
        <v>50</v>
      </c>
      <c r="H42">
        <v>-1130960.53</v>
      </c>
      <c r="I42">
        <v>-2427020.8199999998</v>
      </c>
    </row>
    <row r="43" spans="6:9" x14ac:dyDescent="0.3">
      <c r="F43" s="3" t="s">
        <v>419</v>
      </c>
      <c r="G43" s="3" t="s">
        <v>51</v>
      </c>
      <c r="H43">
        <v>21521270.280000001</v>
      </c>
      <c r="I43">
        <v>-16380374.73</v>
      </c>
    </row>
    <row r="44" spans="6:9" x14ac:dyDescent="0.3">
      <c r="F44" s="3" t="s">
        <v>420</v>
      </c>
      <c r="G44" s="3" t="s">
        <v>52</v>
      </c>
      <c r="H44">
        <v>-10593740.74</v>
      </c>
      <c r="I44">
        <v>63002518.950000003</v>
      </c>
    </row>
    <row r="45" spans="6:9" x14ac:dyDescent="0.3">
      <c r="F45" s="3" t="s">
        <v>421</v>
      </c>
      <c r="G45" s="3" t="s">
        <v>53</v>
      </c>
      <c r="H45">
        <v>-5793288.0099999998</v>
      </c>
      <c r="I45">
        <v>5190048.54</v>
      </c>
    </row>
    <row r="46" spans="6:9" x14ac:dyDescent="0.3">
      <c r="F46" s="3" t="s">
        <v>422</v>
      </c>
      <c r="G46" s="3" t="s">
        <v>54</v>
      </c>
      <c r="H46">
        <v>72877202.469999999</v>
      </c>
      <c r="I46">
        <v>-81189867.329999998</v>
      </c>
    </row>
    <row r="47" spans="6:9" x14ac:dyDescent="0.3">
      <c r="F47" s="3" t="s">
        <v>423</v>
      </c>
      <c r="G47" s="3" t="s">
        <v>55</v>
      </c>
      <c r="H47">
        <v>-2279749.98</v>
      </c>
      <c r="I47">
        <v>-3569460.44</v>
      </c>
    </row>
    <row r="48" spans="6:9" x14ac:dyDescent="0.3">
      <c r="F48" s="3" t="s">
        <v>424</v>
      </c>
      <c r="G48" s="3" t="s">
        <v>56</v>
      </c>
      <c r="H48">
        <v>-462154.32</v>
      </c>
      <c r="I48">
        <v>2346369.7000000002</v>
      </c>
    </row>
    <row r="49" spans="6:9" x14ac:dyDescent="0.3">
      <c r="F49" s="3" t="s">
        <v>425</v>
      </c>
      <c r="G49" s="3" t="s">
        <v>57</v>
      </c>
      <c r="H49">
        <v>2210735.62</v>
      </c>
      <c r="I49">
        <v>78248031.489999995</v>
      </c>
    </row>
    <row r="50" spans="6:9" x14ac:dyDescent="0.3">
      <c r="F50" s="3" t="s">
        <v>426</v>
      </c>
      <c r="G50" s="3" t="s">
        <v>58</v>
      </c>
      <c r="H50">
        <v>6361459.8600000003</v>
      </c>
      <c r="I50">
        <v>12993968.689999999</v>
      </c>
    </row>
    <row r="51" spans="6:9" x14ac:dyDescent="0.3">
      <c r="F51" s="3" t="s">
        <v>427</v>
      </c>
      <c r="G51" s="3" t="s">
        <v>59</v>
      </c>
      <c r="H51">
        <v>16801.87</v>
      </c>
      <c r="I51">
        <v>-55759.16</v>
      </c>
    </row>
    <row r="52" spans="6:9" x14ac:dyDescent="0.3">
      <c r="F52" s="3" t="s">
        <v>428</v>
      </c>
      <c r="G52" s="3" t="s">
        <v>60</v>
      </c>
      <c r="H52">
        <v>-2729131608.5900002</v>
      </c>
      <c r="I52">
        <v>-8242176576.8400002</v>
      </c>
    </row>
    <row r="53" spans="6:9" x14ac:dyDescent="0.3">
      <c r="F53" s="3" t="s">
        <v>429</v>
      </c>
      <c r="G53" s="3" t="s">
        <v>61</v>
      </c>
      <c r="H53">
        <v>-755965880.63</v>
      </c>
      <c r="I53">
        <v>-2313533210.1300001</v>
      </c>
    </row>
    <row r="54" spans="6:9" x14ac:dyDescent="0.3">
      <c r="F54" s="3" t="s">
        <v>430</v>
      </c>
      <c r="G54" s="3" t="s">
        <v>62</v>
      </c>
      <c r="H54">
        <v>0</v>
      </c>
      <c r="I54">
        <v>896380027.37</v>
      </c>
    </row>
    <row r="55" spans="6:9" x14ac:dyDescent="0.3">
      <c r="F55" s="3" t="s">
        <v>431</v>
      </c>
      <c r="G55" s="3" t="s">
        <v>63</v>
      </c>
      <c r="H55">
        <v>-2409048</v>
      </c>
      <c r="I55">
        <v>-6125831.0800000001</v>
      </c>
    </row>
    <row r="56" spans="6:9" x14ac:dyDescent="0.3">
      <c r="F56" s="3" t="s">
        <v>432</v>
      </c>
      <c r="G56" s="3" t="s">
        <v>64</v>
      </c>
      <c r="H56">
        <v>-806079.29</v>
      </c>
      <c r="I56">
        <v>-3066906.34</v>
      </c>
    </row>
    <row r="57" spans="6:9" x14ac:dyDescent="0.3">
      <c r="F57" s="3" t="s">
        <v>433</v>
      </c>
      <c r="G57" s="3" t="s">
        <v>396</v>
      </c>
      <c r="H57">
        <v>-208824883.37</v>
      </c>
      <c r="I57">
        <v>40702058.299999997</v>
      </c>
    </row>
    <row r="58" spans="6:9" x14ac:dyDescent="0.3">
      <c r="F58" s="3" t="s">
        <v>434</v>
      </c>
      <c r="G58" s="3" t="s">
        <v>65</v>
      </c>
      <c r="H58">
        <v>-1608212</v>
      </c>
      <c r="I58">
        <v>-7140738</v>
      </c>
    </row>
    <row r="59" spans="6:9" x14ac:dyDescent="0.3">
      <c r="F59" s="3" t="s">
        <v>435</v>
      </c>
      <c r="G59" s="3" t="s">
        <v>66</v>
      </c>
      <c r="H59">
        <v>-366268.46</v>
      </c>
      <c r="I59">
        <v>-841632.87</v>
      </c>
    </row>
    <row r="60" spans="6:9" x14ac:dyDescent="0.3">
      <c r="F60" s="3" t="s">
        <v>436</v>
      </c>
      <c r="G60" s="3" t="s">
        <v>67</v>
      </c>
      <c r="H60">
        <v>1523868.06</v>
      </c>
      <c r="I60">
        <v>3455994.35</v>
      </c>
    </row>
    <row r="61" spans="6:9" x14ac:dyDescent="0.3">
      <c r="F61" s="3" t="s">
        <v>437</v>
      </c>
      <c r="G61" s="3" t="s">
        <v>68</v>
      </c>
      <c r="H61">
        <v>1322172.69</v>
      </c>
      <c r="I61">
        <v>789606.41</v>
      </c>
    </row>
    <row r="62" spans="6:9" x14ac:dyDescent="0.3">
      <c r="F62" s="3" t="s">
        <v>438</v>
      </c>
      <c r="G62" s="3" t="s">
        <v>69</v>
      </c>
      <c r="H62">
        <v>1048596.3400000001</v>
      </c>
      <c r="I62">
        <v>3290519.06</v>
      </c>
    </row>
    <row r="63" spans="6:9" x14ac:dyDescent="0.3">
      <c r="F63" s="3" t="s">
        <v>439</v>
      </c>
      <c r="G63" s="3" t="s">
        <v>70</v>
      </c>
      <c r="H63">
        <v>-1479320.39</v>
      </c>
      <c r="I63">
        <v>-3414472.17</v>
      </c>
    </row>
    <row r="64" spans="6:9" x14ac:dyDescent="0.3">
      <c r="F64" s="3" t="s">
        <v>440</v>
      </c>
      <c r="G64" s="3" t="s">
        <v>71</v>
      </c>
      <c r="H64">
        <v>7586034.8799999999</v>
      </c>
      <c r="I64">
        <v>23285186</v>
      </c>
    </row>
    <row r="65" spans="6:9" x14ac:dyDescent="0.3">
      <c r="F65" s="3" t="s">
        <v>441</v>
      </c>
      <c r="G65" s="3" t="s">
        <v>72</v>
      </c>
      <c r="H65">
        <v>-12031269.689999999</v>
      </c>
      <c r="I65">
        <v>-25359565.969999999</v>
      </c>
    </row>
    <row r="66" spans="6:9" x14ac:dyDescent="0.3">
      <c r="F66" s="3" t="s">
        <v>442</v>
      </c>
      <c r="G66" s="3" t="s">
        <v>73</v>
      </c>
      <c r="H66">
        <v>40104.519999999997</v>
      </c>
      <c r="I66">
        <v>-209396.71</v>
      </c>
    </row>
    <row r="67" spans="6:9" x14ac:dyDescent="0.3">
      <c r="F67" s="3" t="s">
        <v>443</v>
      </c>
      <c r="G67" s="3" t="s">
        <v>74</v>
      </c>
      <c r="H67">
        <v>-13327380.76</v>
      </c>
      <c r="I67">
        <v>-33531278.129999999</v>
      </c>
    </row>
    <row r="68" spans="6:9" x14ac:dyDescent="0.3">
      <c r="F68" s="3" t="s">
        <v>444</v>
      </c>
      <c r="G68" s="3" t="s">
        <v>75</v>
      </c>
      <c r="H68">
        <v>-1573654.39</v>
      </c>
      <c r="I68">
        <v>-3034702.99</v>
      </c>
    </row>
    <row r="69" spans="6:9" x14ac:dyDescent="0.3">
      <c r="F69" s="3" t="s">
        <v>445</v>
      </c>
      <c r="G69" s="3" t="s">
        <v>76</v>
      </c>
      <c r="H69">
        <v>-9699.11</v>
      </c>
      <c r="I69">
        <v>-1223721.52</v>
      </c>
    </row>
    <row r="70" spans="6:9" x14ac:dyDescent="0.3">
      <c r="F70" s="3" t="s">
        <v>446</v>
      </c>
      <c r="G70" s="3" t="s">
        <v>77</v>
      </c>
      <c r="H70">
        <v>-6129.01</v>
      </c>
      <c r="I70">
        <v>-546533.30000000005</v>
      </c>
    </row>
    <row r="71" spans="6:9" x14ac:dyDescent="0.3">
      <c r="F71" s="3" t="s">
        <v>447</v>
      </c>
      <c r="G71" s="3" t="s">
        <v>78</v>
      </c>
      <c r="H71">
        <v>-5000</v>
      </c>
      <c r="I71">
        <v>-31708</v>
      </c>
    </row>
    <row r="72" spans="6:9" x14ac:dyDescent="0.3">
      <c r="F72" s="3" t="s">
        <v>448</v>
      </c>
      <c r="G72" s="3" t="s">
        <v>79</v>
      </c>
      <c r="H72">
        <v>-21123.91</v>
      </c>
      <c r="I72">
        <v>-79333</v>
      </c>
    </row>
    <row r="73" spans="6:9" x14ac:dyDescent="0.3">
      <c r="F73" s="3" t="s">
        <v>449</v>
      </c>
      <c r="G73" s="3" t="s">
        <v>80</v>
      </c>
      <c r="H73">
        <v>-1119545.93</v>
      </c>
      <c r="I73">
        <v>-1517766.55</v>
      </c>
    </row>
    <row r="74" spans="6:9" x14ac:dyDescent="0.3">
      <c r="F74" s="3" t="s">
        <v>450</v>
      </c>
      <c r="G74" s="3" t="s">
        <v>81</v>
      </c>
      <c r="H74">
        <v>-514136.75</v>
      </c>
      <c r="I74">
        <v>-197067.79</v>
      </c>
    </row>
    <row r="75" spans="6:9" x14ac:dyDescent="0.3">
      <c r="F75" s="3" t="s">
        <v>451</v>
      </c>
      <c r="G75" s="3" t="s">
        <v>82</v>
      </c>
      <c r="H75">
        <v>-499480.83</v>
      </c>
      <c r="I75">
        <v>-477341.49</v>
      </c>
    </row>
    <row r="76" spans="6:9" x14ac:dyDescent="0.3">
      <c r="F76" s="3" t="s">
        <v>452</v>
      </c>
      <c r="G76" s="3" t="s">
        <v>83</v>
      </c>
      <c r="H76">
        <v>-183041.69</v>
      </c>
      <c r="I76">
        <v>-442503.7</v>
      </c>
    </row>
    <row r="77" spans="6:9" x14ac:dyDescent="0.3">
      <c r="F77" s="3" t="s">
        <v>453</v>
      </c>
      <c r="G77" s="3" t="s">
        <v>84</v>
      </c>
      <c r="H77">
        <v>-3393774.32</v>
      </c>
      <c r="I77">
        <v>-6773782.4900000002</v>
      </c>
    </row>
    <row r="78" spans="6:9" x14ac:dyDescent="0.3">
      <c r="F78" s="3" t="s">
        <v>454</v>
      </c>
      <c r="G78" s="3" t="s">
        <v>85</v>
      </c>
      <c r="H78">
        <v>-22007800.780000001</v>
      </c>
      <c r="I78">
        <v>-15067266.810000001</v>
      </c>
    </row>
    <row r="79" spans="6:9" x14ac:dyDescent="0.3">
      <c r="F79" s="3" t="s">
        <v>455</v>
      </c>
      <c r="G79" s="3" t="s">
        <v>86</v>
      </c>
      <c r="H79">
        <v>-3819.32</v>
      </c>
      <c r="I79">
        <v>-132565.76999999999</v>
      </c>
    </row>
    <row r="80" spans="6:9" x14ac:dyDescent="0.3">
      <c r="F80" s="3" t="s">
        <v>456</v>
      </c>
      <c r="G80" s="3" t="s">
        <v>87</v>
      </c>
      <c r="H80">
        <v>0</v>
      </c>
      <c r="I80">
        <v>-1186521.25</v>
      </c>
    </row>
    <row r="81" spans="6:9" x14ac:dyDescent="0.3">
      <c r="F81" s="3" t="s">
        <v>457</v>
      </c>
      <c r="G81" s="3" t="s">
        <v>88</v>
      </c>
      <c r="H81">
        <v>-173174.84</v>
      </c>
      <c r="I81">
        <v>-8004070.8399999999</v>
      </c>
    </row>
    <row r="82" spans="6:9" x14ac:dyDescent="0.3">
      <c r="F82" s="3" t="s">
        <v>458</v>
      </c>
      <c r="G82" s="3" t="s">
        <v>89</v>
      </c>
      <c r="H82">
        <v>314207.74</v>
      </c>
      <c r="I82">
        <v>13701.04</v>
      </c>
    </row>
    <row r="83" spans="6:9" x14ac:dyDescent="0.3">
      <c r="F83" s="3" t="s">
        <v>459</v>
      </c>
      <c r="G83" s="3" t="s">
        <v>89</v>
      </c>
      <c r="H83">
        <v>51533.22</v>
      </c>
      <c r="I83">
        <v>-64961.62</v>
      </c>
    </row>
    <row r="84" spans="6:9" x14ac:dyDescent="0.3">
      <c r="F84" s="3" t="s">
        <v>460</v>
      </c>
      <c r="G84" s="3" t="s">
        <v>90</v>
      </c>
      <c r="H84">
        <v>-4937.2700000000004</v>
      </c>
      <c r="I84">
        <v>562.89</v>
      </c>
    </row>
    <row r="85" spans="6:9" x14ac:dyDescent="0.3">
      <c r="F85" s="3" t="s">
        <v>461</v>
      </c>
      <c r="G85" s="3" t="s">
        <v>91</v>
      </c>
      <c r="H85">
        <v>-7492321.6399999997</v>
      </c>
      <c r="I85">
        <v>-4117883.53</v>
      </c>
    </row>
    <row r="86" spans="6:9" x14ac:dyDescent="0.3">
      <c r="F86" s="3" t="s">
        <v>462</v>
      </c>
      <c r="G86" s="3" t="s">
        <v>92</v>
      </c>
      <c r="H86">
        <v>-2872892.68</v>
      </c>
      <c r="I86">
        <v>-588261.63</v>
      </c>
    </row>
    <row r="87" spans="6:9" x14ac:dyDescent="0.3">
      <c r="F87" s="3" t="s">
        <v>463</v>
      </c>
      <c r="G87" s="3" t="s">
        <v>93</v>
      </c>
      <c r="H87">
        <v>-1417815.47</v>
      </c>
      <c r="I87">
        <v>9979734.3200000003</v>
      </c>
    </row>
    <row r="88" spans="6:9" x14ac:dyDescent="0.3">
      <c r="F88" s="3" t="s">
        <v>464</v>
      </c>
      <c r="G88" s="3" t="s">
        <v>94</v>
      </c>
      <c r="H88">
        <v>4044414.59</v>
      </c>
      <c r="I88">
        <v>-6601042.3600000003</v>
      </c>
    </row>
    <row r="89" spans="6:9" x14ac:dyDescent="0.3">
      <c r="F89" s="3" t="s">
        <v>465</v>
      </c>
      <c r="G89" s="3" t="s">
        <v>95</v>
      </c>
      <c r="H89">
        <v>-360.45</v>
      </c>
      <c r="I89">
        <v>0</v>
      </c>
    </row>
    <row r="90" spans="6:9" x14ac:dyDescent="0.3">
      <c r="F90" s="3" t="s">
        <v>466</v>
      </c>
      <c r="G90" s="3" t="s">
        <v>96</v>
      </c>
      <c r="H90">
        <v>-3273.25</v>
      </c>
      <c r="I90">
        <v>155266.74</v>
      </c>
    </row>
    <row r="91" spans="6:9" x14ac:dyDescent="0.3">
      <c r="F91" s="3" t="s">
        <v>467</v>
      </c>
      <c r="G91" s="3" t="s">
        <v>97</v>
      </c>
      <c r="H91">
        <v>376459.54</v>
      </c>
      <c r="I91">
        <v>-376459.54</v>
      </c>
    </row>
    <row r="92" spans="6:9" x14ac:dyDescent="0.3">
      <c r="F92" s="3" t="s">
        <v>98</v>
      </c>
      <c r="G92" s="3" t="s">
        <v>396</v>
      </c>
      <c r="H92">
        <v>-53807041.359999999</v>
      </c>
      <c r="I92">
        <v>-79990007.219999999</v>
      </c>
    </row>
    <row r="93" spans="6:9" x14ac:dyDescent="0.3">
      <c r="F93" s="3" t="s">
        <v>468</v>
      </c>
      <c r="G93" s="3" t="s">
        <v>396</v>
      </c>
      <c r="H93">
        <v>-53807041.359999999</v>
      </c>
      <c r="I93">
        <v>-79990007.219999999</v>
      </c>
    </row>
    <row r="94" spans="6:9" x14ac:dyDescent="0.3">
      <c r="F94" s="3" t="s">
        <v>469</v>
      </c>
      <c r="G94" s="3" t="s">
        <v>99</v>
      </c>
      <c r="H94">
        <v>-14366.61</v>
      </c>
      <c r="I94">
        <v>-17011.8</v>
      </c>
    </row>
    <row r="95" spans="6:9" x14ac:dyDescent="0.3">
      <c r="F95" s="3" t="s">
        <v>470</v>
      </c>
      <c r="G95" s="3" t="s">
        <v>100</v>
      </c>
      <c r="H95">
        <v>491931354.75</v>
      </c>
      <c r="I95">
        <v>1590847966.1600001</v>
      </c>
    </row>
    <row r="96" spans="6:9" x14ac:dyDescent="0.3">
      <c r="F96" s="3" t="s">
        <v>471</v>
      </c>
      <c r="G96" s="3" t="s">
        <v>101</v>
      </c>
      <c r="H96">
        <v>926722888</v>
      </c>
      <c r="I96">
        <v>1774514442.79</v>
      </c>
    </row>
    <row r="97" spans="6:9" x14ac:dyDescent="0.3">
      <c r="F97" s="3" t="s">
        <v>472</v>
      </c>
      <c r="G97" s="3" t="s">
        <v>102</v>
      </c>
      <c r="H97">
        <v>28139170.940000001</v>
      </c>
      <c r="I97">
        <v>76610026.810000002</v>
      </c>
    </row>
    <row r="98" spans="6:9" x14ac:dyDescent="0.3">
      <c r="F98" s="3" t="s">
        <v>473</v>
      </c>
      <c r="G98" s="3" t="s">
        <v>103</v>
      </c>
      <c r="H98">
        <v>612404922.92999995</v>
      </c>
      <c r="I98">
        <v>1756237838.29</v>
      </c>
    </row>
    <row r="99" spans="6:9" x14ac:dyDescent="0.3">
      <c r="F99" s="3" t="s">
        <v>474</v>
      </c>
      <c r="G99" s="3" t="s">
        <v>104</v>
      </c>
      <c r="H99">
        <v>558988.68000000005</v>
      </c>
      <c r="I99">
        <v>636438.34</v>
      </c>
    </row>
    <row r="100" spans="6:9" x14ac:dyDescent="0.3">
      <c r="F100" s="3" t="s">
        <v>475</v>
      </c>
      <c r="G100" s="3" t="s">
        <v>105</v>
      </c>
      <c r="H100">
        <v>18538063.039999999</v>
      </c>
      <c r="I100">
        <v>121522051.95999999</v>
      </c>
    </row>
    <row r="101" spans="6:9" x14ac:dyDescent="0.3">
      <c r="F101" s="3" t="s">
        <v>476</v>
      </c>
      <c r="G101" s="3" t="s">
        <v>106</v>
      </c>
      <c r="H101">
        <v>20418316.949999999</v>
      </c>
      <c r="I101">
        <v>111522710.92</v>
      </c>
    </row>
    <row r="102" spans="6:9" x14ac:dyDescent="0.3">
      <c r="F102" s="3" t="s">
        <v>477</v>
      </c>
      <c r="G102" s="3" t="s">
        <v>107</v>
      </c>
      <c r="H102">
        <v>5426275.0099999998</v>
      </c>
      <c r="I102">
        <v>49042588.719999999</v>
      </c>
    </row>
    <row r="103" spans="6:9" x14ac:dyDescent="0.3">
      <c r="F103" s="3" t="s">
        <v>478</v>
      </c>
      <c r="G103" s="3" t="s">
        <v>108</v>
      </c>
      <c r="H103">
        <v>22168794.359999999</v>
      </c>
      <c r="I103">
        <v>104598748.59999999</v>
      </c>
    </row>
    <row r="104" spans="6:9" x14ac:dyDescent="0.3">
      <c r="F104" s="3" t="s">
        <v>479</v>
      </c>
      <c r="G104" s="3" t="s">
        <v>109</v>
      </c>
      <c r="H104">
        <v>79143.83</v>
      </c>
      <c r="I104">
        <v>313053.98</v>
      </c>
    </row>
    <row r="105" spans="6:9" x14ac:dyDescent="0.3">
      <c r="F105" s="3" t="s">
        <v>480</v>
      </c>
      <c r="G105" s="3" t="s">
        <v>110</v>
      </c>
      <c r="H105">
        <v>2345783.7999999998</v>
      </c>
      <c r="I105">
        <v>8197967.8499999996</v>
      </c>
    </row>
    <row r="106" spans="6:9" x14ac:dyDescent="0.3">
      <c r="F106" s="3" t="s">
        <v>481</v>
      </c>
      <c r="G106" s="3" t="s">
        <v>111</v>
      </c>
      <c r="H106">
        <v>16874056.079999998</v>
      </c>
      <c r="I106">
        <v>36503120.960000001</v>
      </c>
    </row>
    <row r="107" spans="6:9" x14ac:dyDescent="0.3">
      <c r="F107" s="3" t="s">
        <v>482</v>
      </c>
      <c r="G107" s="3" t="s">
        <v>112</v>
      </c>
      <c r="H107">
        <v>13405694.449999999</v>
      </c>
      <c r="I107">
        <v>33672678</v>
      </c>
    </row>
    <row r="108" spans="6:9" x14ac:dyDescent="0.3">
      <c r="F108" s="3" t="s">
        <v>483</v>
      </c>
      <c r="G108" s="3" t="s">
        <v>113</v>
      </c>
      <c r="H108">
        <v>2799816.32</v>
      </c>
      <c r="I108">
        <v>1583345.15</v>
      </c>
    </row>
    <row r="109" spans="6:9" x14ac:dyDescent="0.3">
      <c r="F109" s="3" t="s">
        <v>484</v>
      </c>
      <c r="G109" s="3" t="s">
        <v>114</v>
      </c>
      <c r="H109">
        <v>70338780.640000001</v>
      </c>
      <c r="I109">
        <v>177901204.13999999</v>
      </c>
    </row>
    <row r="110" spans="6:9" x14ac:dyDescent="0.3">
      <c r="F110" s="3" t="s">
        <v>485</v>
      </c>
      <c r="G110" s="3" t="s">
        <v>115</v>
      </c>
      <c r="H110">
        <v>1482843.93</v>
      </c>
      <c r="I110">
        <v>3320179.71</v>
      </c>
    </row>
    <row r="111" spans="6:9" x14ac:dyDescent="0.3">
      <c r="F111" s="3" t="s">
        <v>486</v>
      </c>
      <c r="G111" s="3" t="s">
        <v>116</v>
      </c>
      <c r="H111">
        <v>7854000.46</v>
      </c>
      <c r="I111">
        <v>22251921.030000001</v>
      </c>
    </row>
    <row r="112" spans="6:9" x14ac:dyDescent="0.3">
      <c r="F112" s="3" t="s">
        <v>487</v>
      </c>
      <c r="G112" s="3" t="s">
        <v>117</v>
      </c>
      <c r="H112">
        <v>4650319.4000000004</v>
      </c>
      <c r="I112">
        <v>11923018.09</v>
      </c>
    </row>
    <row r="113" spans="6:9" x14ac:dyDescent="0.3">
      <c r="F113" s="3" t="s">
        <v>488</v>
      </c>
      <c r="G113" s="3" t="s">
        <v>118</v>
      </c>
      <c r="H113">
        <v>142434.71</v>
      </c>
      <c r="I113">
        <v>211289.08</v>
      </c>
    </row>
    <row r="114" spans="6:9" x14ac:dyDescent="0.3">
      <c r="F114" s="3" t="s">
        <v>489</v>
      </c>
      <c r="G114" s="3" t="s">
        <v>119</v>
      </c>
      <c r="H114">
        <v>2099193.02</v>
      </c>
      <c r="I114">
        <v>4880411.58</v>
      </c>
    </row>
    <row r="115" spans="6:9" x14ac:dyDescent="0.3">
      <c r="F115" s="3" t="s">
        <v>490</v>
      </c>
      <c r="G115" s="3" t="s">
        <v>120</v>
      </c>
      <c r="H115">
        <v>1560831.25</v>
      </c>
      <c r="I115">
        <v>5236725.63</v>
      </c>
    </row>
    <row r="116" spans="6:9" x14ac:dyDescent="0.3">
      <c r="F116" s="3" t="s">
        <v>491</v>
      </c>
      <c r="G116" s="3" t="s">
        <v>121</v>
      </c>
      <c r="H116">
        <v>-6128118.6399999997</v>
      </c>
      <c r="I116">
        <v>-15937981.35</v>
      </c>
    </row>
    <row r="117" spans="6:9" x14ac:dyDescent="0.3">
      <c r="F117" s="3" t="s">
        <v>492</v>
      </c>
      <c r="G117" s="3" t="s">
        <v>122</v>
      </c>
      <c r="H117">
        <v>-28705584.280000001</v>
      </c>
      <c r="I117">
        <v>-78668223.799999997</v>
      </c>
    </row>
    <row r="118" spans="6:9" x14ac:dyDescent="0.3">
      <c r="F118" s="3" t="s">
        <v>493</v>
      </c>
      <c r="G118" s="3" t="s">
        <v>123</v>
      </c>
      <c r="H118">
        <v>-0.04</v>
      </c>
      <c r="I118">
        <v>40862240.840000004</v>
      </c>
    </row>
    <row r="119" spans="6:9" x14ac:dyDescent="0.3">
      <c r="F119" s="3" t="s">
        <v>494</v>
      </c>
      <c r="G119" s="3" t="s">
        <v>124</v>
      </c>
      <c r="H119">
        <v>-23742076.359999999</v>
      </c>
      <c r="I119">
        <v>-113429668.69</v>
      </c>
    </row>
    <row r="120" spans="6:9" x14ac:dyDescent="0.3">
      <c r="F120" s="3" t="s">
        <v>495</v>
      </c>
      <c r="G120" s="3" t="s">
        <v>125</v>
      </c>
      <c r="H120">
        <v>-351557.75</v>
      </c>
      <c r="I120">
        <v>-1651082.28</v>
      </c>
    </row>
    <row r="121" spans="6:9" x14ac:dyDescent="0.3">
      <c r="F121" s="3" t="s">
        <v>496</v>
      </c>
      <c r="G121" s="3" t="s">
        <v>126</v>
      </c>
      <c r="H121">
        <v>21226169.109999999</v>
      </c>
      <c r="I121">
        <v>100255416</v>
      </c>
    </row>
    <row r="122" spans="6:9" x14ac:dyDescent="0.3">
      <c r="F122" s="3" t="s">
        <v>497</v>
      </c>
      <c r="G122" s="3" t="s">
        <v>127</v>
      </c>
      <c r="H122">
        <v>1578598.18</v>
      </c>
      <c r="I122">
        <v>7572258.0899999999</v>
      </c>
    </row>
    <row r="123" spans="6:9" x14ac:dyDescent="0.3">
      <c r="F123" s="3" t="s">
        <v>498</v>
      </c>
      <c r="G123" s="3" t="s">
        <v>128</v>
      </c>
      <c r="H123">
        <v>1106687914.3499999</v>
      </c>
      <c r="I123">
        <v>3235967617.9699998</v>
      </c>
    </row>
    <row r="124" spans="6:9" x14ac:dyDescent="0.3">
      <c r="F124" s="3" t="s">
        <v>499</v>
      </c>
      <c r="G124" s="3" t="s">
        <v>129</v>
      </c>
      <c r="H124">
        <v>83824710.5</v>
      </c>
      <c r="I124">
        <v>454016540.06</v>
      </c>
    </row>
    <row r="125" spans="6:9" x14ac:dyDescent="0.3">
      <c r="F125" s="3" t="s">
        <v>500</v>
      </c>
      <c r="G125" s="3" t="s">
        <v>130</v>
      </c>
      <c r="H125">
        <v>10633238.33</v>
      </c>
      <c r="I125">
        <v>33081588.399999999</v>
      </c>
    </row>
    <row r="126" spans="6:9" x14ac:dyDescent="0.3">
      <c r="F126" s="3" t="s">
        <v>501</v>
      </c>
      <c r="G126" s="3" t="s">
        <v>131</v>
      </c>
      <c r="H126">
        <v>-3696.09</v>
      </c>
      <c r="I126">
        <v>-159430.01</v>
      </c>
    </row>
    <row r="127" spans="6:9" x14ac:dyDescent="0.3">
      <c r="F127" s="3" t="s">
        <v>502</v>
      </c>
      <c r="G127" s="3" t="s">
        <v>132</v>
      </c>
      <c r="H127">
        <v>1188920.21</v>
      </c>
      <c r="I127">
        <v>-1345212.68</v>
      </c>
    </row>
    <row r="128" spans="6:9" x14ac:dyDescent="0.3">
      <c r="F128" s="3" t="s">
        <v>503</v>
      </c>
      <c r="G128" s="3" t="s">
        <v>133</v>
      </c>
      <c r="H128">
        <v>-655311</v>
      </c>
      <c r="I128">
        <v>-1493444.79</v>
      </c>
    </row>
    <row r="129" spans="6:9" x14ac:dyDescent="0.3">
      <c r="F129" s="3" t="s">
        <v>504</v>
      </c>
      <c r="G129" s="3" t="s">
        <v>134</v>
      </c>
      <c r="H129">
        <v>17592.580000000002</v>
      </c>
      <c r="I129">
        <v>-469917.61</v>
      </c>
    </row>
    <row r="130" spans="6:9" x14ac:dyDescent="0.3">
      <c r="F130" s="3" t="s">
        <v>505</v>
      </c>
      <c r="G130" s="3" t="s">
        <v>135</v>
      </c>
      <c r="H130">
        <v>-167308.76999999999</v>
      </c>
      <c r="I130">
        <v>-1313596.56</v>
      </c>
    </row>
    <row r="131" spans="6:9" x14ac:dyDescent="0.3">
      <c r="F131" s="3" t="s">
        <v>506</v>
      </c>
      <c r="G131" s="3" t="s">
        <v>136</v>
      </c>
      <c r="H131">
        <v>9733090.4800000004</v>
      </c>
      <c r="I131">
        <v>28048158.350000001</v>
      </c>
    </row>
    <row r="132" spans="6:9" x14ac:dyDescent="0.3">
      <c r="F132" s="3" t="s">
        <v>507</v>
      </c>
      <c r="G132" s="3" t="s">
        <v>137</v>
      </c>
      <c r="H132">
        <v>15512134.869999999</v>
      </c>
      <c r="I132">
        <v>40005444.5</v>
      </c>
    </row>
    <row r="133" spans="6:9" x14ac:dyDescent="0.3">
      <c r="F133" s="3" t="s">
        <v>508</v>
      </c>
      <c r="G133" s="3" t="s">
        <v>138</v>
      </c>
      <c r="H133">
        <v>3873750</v>
      </c>
      <c r="I133">
        <v>11906230.01</v>
      </c>
    </row>
    <row r="134" spans="6:9" x14ac:dyDescent="0.3">
      <c r="F134" s="3" t="s">
        <v>509</v>
      </c>
      <c r="G134" s="3" t="s">
        <v>139</v>
      </c>
      <c r="H134">
        <v>-3050652</v>
      </c>
      <c r="I134">
        <v>-5743248</v>
      </c>
    </row>
    <row r="135" spans="6:9" x14ac:dyDescent="0.3">
      <c r="F135" s="3" t="s">
        <v>510</v>
      </c>
      <c r="G135" s="3" t="s">
        <v>140</v>
      </c>
      <c r="H135">
        <v>1962590.47</v>
      </c>
      <c r="I135">
        <v>4242144.8</v>
      </c>
    </row>
    <row r="136" spans="6:9" x14ac:dyDescent="0.3">
      <c r="F136" s="3" t="s">
        <v>511</v>
      </c>
      <c r="G136" s="3" t="s">
        <v>141</v>
      </c>
      <c r="H136">
        <v>278592181.99000001</v>
      </c>
      <c r="I136">
        <v>865218570.60000002</v>
      </c>
    </row>
    <row r="137" spans="6:9" x14ac:dyDescent="0.3">
      <c r="F137" s="3" t="s">
        <v>512</v>
      </c>
      <c r="G137" s="3" t="s">
        <v>142</v>
      </c>
      <c r="H137">
        <v>95473673.650000006</v>
      </c>
      <c r="I137">
        <v>96052121.730000004</v>
      </c>
    </row>
    <row r="138" spans="6:9" x14ac:dyDescent="0.3">
      <c r="F138" s="3" t="s">
        <v>513</v>
      </c>
      <c r="G138" s="3" t="s">
        <v>143</v>
      </c>
      <c r="H138">
        <v>-3150282.36</v>
      </c>
      <c r="I138">
        <v>3231264.9</v>
      </c>
    </row>
    <row r="139" spans="6:9" x14ac:dyDescent="0.3">
      <c r="F139" s="3" t="s">
        <v>514</v>
      </c>
      <c r="G139" s="3" t="s">
        <v>144</v>
      </c>
      <c r="H139">
        <v>0</v>
      </c>
      <c r="I139">
        <v>841320</v>
      </c>
    </row>
    <row r="140" spans="6:9" x14ac:dyDescent="0.3">
      <c r="F140" s="3" t="s">
        <v>515</v>
      </c>
      <c r="G140" s="3" t="s">
        <v>145</v>
      </c>
      <c r="H140">
        <v>-318595.75</v>
      </c>
      <c r="I140">
        <v>-161698.22</v>
      </c>
    </row>
    <row r="141" spans="6:9" x14ac:dyDescent="0.3">
      <c r="F141" s="3" t="s">
        <v>516</v>
      </c>
      <c r="G141" s="3" t="s">
        <v>146</v>
      </c>
      <c r="H141">
        <v>-323571.52</v>
      </c>
      <c r="I141">
        <v>-5006218.82</v>
      </c>
    </row>
    <row r="142" spans="6:9" x14ac:dyDescent="0.3">
      <c r="F142" s="3" t="s">
        <v>517</v>
      </c>
      <c r="G142" s="3" t="s">
        <v>147</v>
      </c>
      <c r="H142">
        <v>39603.94</v>
      </c>
      <c r="I142">
        <v>188267.62</v>
      </c>
    </row>
    <row r="143" spans="6:9" x14ac:dyDescent="0.3">
      <c r="F143" s="3" t="s">
        <v>518</v>
      </c>
      <c r="G143" s="3" t="s">
        <v>148</v>
      </c>
      <c r="H143">
        <v>15947917.460000001</v>
      </c>
      <c r="I143">
        <v>3366406.37</v>
      </c>
    </row>
    <row r="144" spans="6:9" x14ac:dyDescent="0.3">
      <c r="F144" s="3" t="s">
        <v>519</v>
      </c>
      <c r="G144" s="3" t="s">
        <v>149</v>
      </c>
      <c r="H144">
        <v>674674.2</v>
      </c>
      <c r="I144">
        <v>-666255.26</v>
      </c>
    </row>
    <row r="145" spans="6:9" x14ac:dyDescent="0.3">
      <c r="F145" s="3" t="s">
        <v>520</v>
      </c>
      <c r="G145" s="3" t="s">
        <v>150</v>
      </c>
      <c r="H145">
        <v>-0.09</v>
      </c>
      <c r="I145">
        <v>-118.45</v>
      </c>
    </row>
    <row r="146" spans="6:9" x14ac:dyDescent="0.3">
      <c r="F146" s="3" t="s">
        <v>521</v>
      </c>
      <c r="G146" s="3" t="s">
        <v>151</v>
      </c>
      <c r="H146">
        <v>0</v>
      </c>
      <c r="I146">
        <v>-896380027.37</v>
      </c>
    </row>
    <row r="147" spans="6:9" x14ac:dyDescent="0.3">
      <c r="F147" s="3" t="s">
        <v>522</v>
      </c>
      <c r="G147" s="3" t="s">
        <v>152</v>
      </c>
      <c r="H147">
        <v>32259.77</v>
      </c>
      <c r="I147">
        <v>270113.71999999997</v>
      </c>
    </row>
    <row r="148" spans="6:9" x14ac:dyDescent="0.3">
      <c r="F148" s="3" t="s">
        <v>523</v>
      </c>
      <c r="G148" s="3" t="s">
        <v>153</v>
      </c>
      <c r="H148">
        <v>-7399761.3300000001</v>
      </c>
      <c r="I148">
        <v>89936544.900000006</v>
      </c>
    </row>
    <row r="149" spans="6:9" x14ac:dyDescent="0.3">
      <c r="F149" s="3" t="s">
        <v>524</v>
      </c>
      <c r="G149" s="3" t="s">
        <v>154</v>
      </c>
      <c r="H149">
        <v>155093.96</v>
      </c>
      <c r="I149">
        <v>278694.5</v>
      </c>
    </row>
    <row r="150" spans="6:9" x14ac:dyDescent="0.3">
      <c r="F150" s="3" t="s">
        <v>525</v>
      </c>
      <c r="G150" s="3" t="s">
        <v>155</v>
      </c>
      <c r="H150">
        <v>-278592181.99000001</v>
      </c>
      <c r="I150">
        <v>-865218570.60000002</v>
      </c>
    </row>
    <row r="151" spans="6:9" x14ac:dyDescent="0.3">
      <c r="F151" s="3" t="s">
        <v>526</v>
      </c>
      <c r="G151" s="3" t="s">
        <v>156</v>
      </c>
      <c r="H151">
        <v>-1137699381.4300001</v>
      </c>
      <c r="I151">
        <v>-3475532363.7199998</v>
      </c>
    </row>
    <row r="152" spans="6:9" x14ac:dyDescent="0.3">
      <c r="F152" s="3" t="s">
        <v>527</v>
      </c>
      <c r="G152" s="3" t="s">
        <v>157</v>
      </c>
      <c r="H152">
        <v>-13111.71</v>
      </c>
      <c r="I152">
        <v>-52718.71</v>
      </c>
    </row>
    <row r="153" spans="6:9" x14ac:dyDescent="0.3">
      <c r="F153" s="3" t="s">
        <v>528</v>
      </c>
      <c r="G153" s="3" t="s">
        <v>396</v>
      </c>
      <c r="H153">
        <v>2013342911.48</v>
      </c>
      <c r="I153">
        <v>5437240335.1700001</v>
      </c>
    </row>
    <row r="154" spans="6:9" x14ac:dyDescent="0.3">
      <c r="F154" s="3" t="s">
        <v>529</v>
      </c>
      <c r="G154" s="3" t="s">
        <v>158</v>
      </c>
      <c r="H154">
        <v>223603.51</v>
      </c>
      <c r="I154">
        <v>1785510.17</v>
      </c>
    </row>
    <row r="155" spans="6:9" x14ac:dyDescent="0.3">
      <c r="F155" s="3" t="s">
        <v>530</v>
      </c>
      <c r="G155" s="3" t="s">
        <v>159</v>
      </c>
      <c r="H155">
        <v>147351.03</v>
      </c>
      <c r="I155">
        <v>610683.76</v>
      </c>
    </row>
    <row r="156" spans="6:9" x14ac:dyDescent="0.3">
      <c r="F156" s="3" t="s">
        <v>531</v>
      </c>
      <c r="G156" s="3" t="s">
        <v>160</v>
      </c>
      <c r="H156">
        <v>39201.72</v>
      </c>
      <c r="I156">
        <v>91583.22</v>
      </c>
    </row>
    <row r="157" spans="6:9" x14ac:dyDescent="0.3">
      <c r="F157" s="3" t="s">
        <v>532</v>
      </c>
      <c r="G157" s="3" t="s">
        <v>161</v>
      </c>
      <c r="H157">
        <v>48028.39</v>
      </c>
      <c r="I157">
        <v>141107.01999999999</v>
      </c>
    </row>
    <row r="158" spans="6:9" x14ac:dyDescent="0.3">
      <c r="F158" s="3" t="s">
        <v>533</v>
      </c>
      <c r="G158" s="3" t="s">
        <v>396</v>
      </c>
      <c r="H158">
        <v>458184.65</v>
      </c>
      <c r="I158">
        <v>2628884.17</v>
      </c>
    </row>
    <row r="159" spans="6:9" x14ac:dyDescent="0.3">
      <c r="F159" s="3" t="s">
        <v>534</v>
      </c>
      <c r="G159" s="3" t="s">
        <v>162</v>
      </c>
      <c r="H159">
        <v>7802319.1399999997</v>
      </c>
      <c r="I159">
        <v>4997561.95</v>
      </c>
    </row>
    <row r="160" spans="6:9" x14ac:dyDescent="0.3">
      <c r="F160" s="3" t="s">
        <v>535</v>
      </c>
      <c r="G160" s="3" t="s">
        <v>163</v>
      </c>
      <c r="H160">
        <v>-1286214.68</v>
      </c>
      <c r="I160">
        <v>2303690.4300000002</v>
      </c>
    </row>
    <row r="161" spans="6:9" x14ac:dyDescent="0.3">
      <c r="F161" s="3" t="s">
        <v>536</v>
      </c>
      <c r="G161" s="3" t="s">
        <v>164</v>
      </c>
      <c r="H161">
        <v>-7442546.1600000001</v>
      </c>
      <c r="I161">
        <v>-32356071.010000002</v>
      </c>
    </row>
    <row r="162" spans="6:9" x14ac:dyDescent="0.3">
      <c r="F162" s="3" t="s">
        <v>537</v>
      </c>
      <c r="G162" s="3" t="s">
        <v>165</v>
      </c>
      <c r="H162">
        <v>58233.96</v>
      </c>
      <c r="I162">
        <v>0</v>
      </c>
    </row>
    <row r="163" spans="6:9" x14ac:dyDescent="0.3">
      <c r="F163" s="3" t="s">
        <v>538</v>
      </c>
      <c r="G163" s="3" t="s">
        <v>166</v>
      </c>
      <c r="H163">
        <v>96619.98</v>
      </c>
      <c r="I163">
        <v>305104.05</v>
      </c>
    </row>
    <row r="164" spans="6:9" x14ac:dyDescent="0.3">
      <c r="F164" s="3" t="s">
        <v>539</v>
      </c>
      <c r="G164" s="3" t="s">
        <v>167</v>
      </c>
      <c r="H164">
        <v>-1013379.3</v>
      </c>
      <c r="I164">
        <v>842695.53</v>
      </c>
    </row>
    <row r="165" spans="6:9" x14ac:dyDescent="0.3">
      <c r="F165" s="3" t="s">
        <v>168</v>
      </c>
      <c r="G165" s="3" t="s">
        <v>396</v>
      </c>
      <c r="H165">
        <v>-1784967.06</v>
      </c>
      <c r="I165">
        <v>-23907019.050000001</v>
      </c>
    </row>
    <row r="166" spans="6:9" x14ac:dyDescent="0.3">
      <c r="F166" s="3" t="s">
        <v>540</v>
      </c>
      <c r="G166" s="3" t="s">
        <v>396</v>
      </c>
      <c r="H166">
        <v>2410011493.7800002</v>
      </c>
      <c r="I166">
        <v>5415962200.29</v>
      </c>
    </row>
    <row r="167" spans="6:9" x14ac:dyDescent="0.3">
      <c r="F167" s="3" t="s">
        <v>541</v>
      </c>
      <c r="G167" s="3" t="s">
        <v>169</v>
      </c>
      <c r="H167">
        <v>58829622.939999998</v>
      </c>
      <c r="I167">
        <v>150229165.19</v>
      </c>
    </row>
    <row r="168" spans="6:9" x14ac:dyDescent="0.3">
      <c r="F168" s="3" t="s">
        <v>542</v>
      </c>
      <c r="G168" s="3" t="s">
        <v>170</v>
      </c>
      <c r="H168">
        <v>15539916.02</v>
      </c>
      <c r="I168">
        <v>50764744.579999998</v>
      </c>
    </row>
    <row r="169" spans="6:9" x14ac:dyDescent="0.3">
      <c r="F169" s="3" t="s">
        <v>543</v>
      </c>
      <c r="G169" s="3" t="s">
        <v>171</v>
      </c>
      <c r="H169">
        <v>6790695.8200000003</v>
      </c>
      <c r="I169">
        <v>19834351.09</v>
      </c>
    </row>
    <row r="170" spans="6:9" x14ac:dyDescent="0.3">
      <c r="F170" s="3" t="s">
        <v>544</v>
      </c>
      <c r="G170" s="3" t="s">
        <v>172</v>
      </c>
      <c r="H170">
        <v>4524190.34</v>
      </c>
      <c r="I170">
        <v>11687312.85</v>
      </c>
    </row>
    <row r="171" spans="6:9" x14ac:dyDescent="0.3">
      <c r="F171" s="3" t="s">
        <v>545</v>
      </c>
      <c r="G171" s="3" t="s">
        <v>173</v>
      </c>
      <c r="H171">
        <v>1541919.39</v>
      </c>
      <c r="I171">
        <v>4236571.9800000004</v>
      </c>
    </row>
    <row r="172" spans="6:9" x14ac:dyDescent="0.3">
      <c r="F172" s="3" t="s">
        <v>546</v>
      </c>
      <c r="G172" s="3" t="s">
        <v>174</v>
      </c>
      <c r="H172">
        <v>572120.93999999994</v>
      </c>
      <c r="I172">
        <v>100200.01</v>
      </c>
    </row>
    <row r="173" spans="6:9" x14ac:dyDescent="0.3">
      <c r="F173" s="3" t="s">
        <v>547</v>
      </c>
      <c r="G173" s="3" t="s">
        <v>175</v>
      </c>
      <c r="H173">
        <v>39136.99</v>
      </c>
      <c r="I173">
        <v>159341.64000000001</v>
      </c>
    </row>
    <row r="174" spans="6:9" x14ac:dyDescent="0.3">
      <c r="F174" s="3" t="s">
        <v>548</v>
      </c>
      <c r="G174" s="3" t="s">
        <v>396</v>
      </c>
      <c r="H174">
        <v>87837602.439999998</v>
      </c>
      <c r="I174">
        <v>237011687.34</v>
      </c>
    </row>
    <row r="175" spans="6:9" x14ac:dyDescent="0.3">
      <c r="F175" s="3" t="s">
        <v>549</v>
      </c>
      <c r="G175" s="3" t="s">
        <v>176</v>
      </c>
      <c r="H175">
        <v>1477302.89</v>
      </c>
      <c r="I175">
        <v>1321091.4099999999</v>
      </c>
    </row>
    <row r="176" spans="6:9" x14ac:dyDescent="0.3">
      <c r="F176" s="3" t="s">
        <v>550</v>
      </c>
      <c r="G176" s="3" t="s">
        <v>177</v>
      </c>
      <c r="H176">
        <v>10270.16</v>
      </c>
      <c r="I176">
        <v>445.81</v>
      </c>
    </row>
    <row r="177" spans="6:9" x14ac:dyDescent="0.3">
      <c r="F177" s="3" t="s">
        <v>551</v>
      </c>
      <c r="G177" s="3" t="s">
        <v>396</v>
      </c>
      <c r="H177">
        <v>1487573.05</v>
      </c>
      <c r="I177">
        <v>1321537.22</v>
      </c>
    </row>
    <row r="178" spans="6:9" x14ac:dyDescent="0.3">
      <c r="F178" s="3" t="s">
        <v>552</v>
      </c>
      <c r="G178" s="3" t="s">
        <v>178</v>
      </c>
      <c r="H178">
        <v>331197462.31</v>
      </c>
      <c r="I178">
        <v>813715348.38999999</v>
      </c>
    </row>
    <row r="179" spans="6:9" x14ac:dyDescent="0.3">
      <c r="F179" s="3" t="s">
        <v>553</v>
      </c>
      <c r="G179" s="3" t="s">
        <v>396</v>
      </c>
      <c r="H179">
        <v>420522637.80000001</v>
      </c>
      <c r="I179">
        <v>1052048572.95</v>
      </c>
    </row>
    <row r="180" spans="6:9" x14ac:dyDescent="0.3">
      <c r="F180" s="3" t="s">
        <v>1</v>
      </c>
      <c r="G180" s="3" t="s">
        <v>396</v>
      </c>
      <c r="H180">
        <v>2910046520.2399998</v>
      </c>
      <c r="I180">
        <v>6468010773.2399998</v>
      </c>
    </row>
    <row r="181" spans="6:9" x14ac:dyDescent="0.3">
      <c r="F181" s="3" t="s">
        <v>554</v>
      </c>
      <c r="G181" s="3" t="s">
        <v>179</v>
      </c>
      <c r="H181">
        <v>12696726.67</v>
      </c>
      <c r="I181">
        <v>17588345.890000001</v>
      </c>
    </row>
    <row r="182" spans="6:9" x14ac:dyDescent="0.3">
      <c r="F182" s="3" t="s">
        <v>555</v>
      </c>
      <c r="G182" s="3" t="s">
        <v>180</v>
      </c>
      <c r="H182">
        <v>81401.7</v>
      </c>
      <c r="I182">
        <v>134401.65</v>
      </c>
    </row>
    <row r="183" spans="6:9" x14ac:dyDescent="0.3">
      <c r="F183" s="3" t="s">
        <v>556</v>
      </c>
      <c r="G183" s="3" t="s">
        <v>181</v>
      </c>
      <c r="H183">
        <v>1326110.5</v>
      </c>
      <c r="I183">
        <v>2717246.32</v>
      </c>
    </row>
    <row r="184" spans="6:9" x14ac:dyDescent="0.3">
      <c r="F184" s="3" t="s">
        <v>557</v>
      </c>
      <c r="G184" s="3" t="s">
        <v>182</v>
      </c>
      <c r="H184">
        <v>0</v>
      </c>
      <c r="I184">
        <v>628747.16</v>
      </c>
    </row>
    <row r="185" spans="6:9" x14ac:dyDescent="0.3">
      <c r="F185" s="3" t="s">
        <v>558</v>
      </c>
      <c r="G185" s="3" t="s">
        <v>183</v>
      </c>
      <c r="H185">
        <v>2425003.25</v>
      </c>
      <c r="I185">
        <v>1973353.49</v>
      </c>
    </row>
    <row r="186" spans="6:9" x14ac:dyDescent="0.3">
      <c r="F186" s="3" t="s">
        <v>559</v>
      </c>
      <c r="G186" s="3" t="s">
        <v>184</v>
      </c>
      <c r="H186">
        <v>3327842.59</v>
      </c>
      <c r="I186">
        <v>6076854.5300000003</v>
      </c>
    </row>
    <row r="187" spans="6:9" x14ac:dyDescent="0.3">
      <c r="F187" s="3" t="s">
        <v>560</v>
      </c>
      <c r="G187" s="3" t="s">
        <v>185</v>
      </c>
      <c r="H187">
        <v>5786706.0499999998</v>
      </c>
      <c r="I187">
        <v>15000933.619999999</v>
      </c>
    </row>
    <row r="188" spans="6:9" x14ac:dyDescent="0.3">
      <c r="F188" s="3" t="s">
        <v>561</v>
      </c>
      <c r="G188" s="3" t="s">
        <v>186</v>
      </c>
      <c r="H188">
        <v>538425.92000000004</v>
      </c>
      <c r="I188">
        <v>1890744.35</v>
      </c>
    </row>
    <row r="189" spans="6:9" x14ac:dyDescent="0.3">
      <c r="F189" s="3" t="s">
        <v>562</v>
      </c>
      <c r="G189" s="3" t="s">
        <v>396</v>
      </c>
      <c r="H189">
        <v>20989908.399999999</v>
      </c>
      <c r="I189">
        <v>46010627.009999998</v>
      </c>
    </row>
    <row r="190" spans="6:9" x14ac:dyDescent="0.3">
      <c r="F190" s="3" t="s">
        <v>563</v>
      </c>
      <c r="G190" s="3" t="s">
        <v>187</v>
      </c>
      <c r="H190">
        <v>354936.63</v>
      </c>
      <c r="I190">
        <v>547088.11</v>
      </c>
    </row>
    <row r="191" spans="6:9" x14ac:dyDescent="0.3">
      <c r="F191" s="3" t="s">
        <v>564</v>
      </c>
      <c r="G191" s="3" t="s">
        <v>188</v>
      </c>
      <c r="H191">
        <v>906928.12</v>
      </c>
      <c r="I191">
        <v>4652875.55</v>
      </c>
    </row>
    <row r="192" spans="6:9" x14ac:dyDescent="0.3">
      <c r="F192" s="3" t="s">
        <v>565</v>
      </c>
      <c r="G192" s="3" t="s">
        <v>396</v>
      </c>
      <c r="H192">
        <v>906928.12</v>
      </c>
      <c r="I192">
        <v>4652875.55</v>
      </c>
    </row>
    <row r="193" spans="6:9" x14ac:dyDescent="0.3">
      <c r="F193" s="3" t="s">
        <v>566</v>
      </c>
      <c r="G193" s="3" t="s">
        <v>189</v>
      </c>
      <c r="H193">
        <v>2306807.9900000002</v>
      </c>
      <c r="I193">
        <v>4727465.29</v>
      </c>
    </row>
    <row r="194" spans="6:9" x14ac:dyDescent="0.3">
      <c r="F194" s="3" t="s">
        <v>567</v>
      </c>
      <c r="G194" s="3" t="s">
        <v>190</v>
      </c>
      <c r="H194">
        <v>120.73</v>
      </c>
      <c r="I194">
        <v>289.70999999999998</v>
      </c>
    </row>
    <row r="195" spans="6:9" x14ac:dyDescent="0.3">
      <c r="F195" s="3" t="s">
        <v>568</v>
      </c>
      <c r="G195" s="3" t="s">
        <v>191</v>
      </c>
      <c r="H195">
        <v>26387.85</v>
      </c>
      <c r="I195">
        <v>0</v>
      </c>
    </row>
    <row r="196" spans="6:9" x14ac:dyDescent="0.3">
      <c r="F196" s="3" t="s">
        <v>569</v>
      </c>
      <c r="G196" s="3" t="s">
        <v>192</v>
      </c>
      <c r="H196">
        <v>0</v>
      </c>
      <c r="I196">
        <v>30147.82</v>
      </c>
    </row>
    <row r="197" spans="6:9" x14ac:dyDescent="0.3">
      <c r="F197" s="3" t="s">
        <v>570</v>
      </c>
      <c r="G197" s="3" t="s">
        <v>193</v>
      </c>
      <c r="H197">
        <v>12000</v>
      </c>
      <c r="I197">
        <v>25384</v>
      </c>
    </row>
    <row r="198" spans="6:9" x14ac:dyDescent="0.3">
      <c r="F198" s="3" t="s">
        <v>571</v>
      </c>
      <c r="G198" s="3" t="s">
        <v>396</v>
      </c>
      <c r="H198">
        <v>2345316.5699999998</v>
      </c>
      <c r="I198">
        <v>4783286.82</v>
      </c>
    </row>
    <row r="199" spans="6:9" x14ac:dyDescent="0.3">
      <c r="F199" s="3" t="s">
        <v>572</v>
      </c>
      <c r="G199" s="3" t="s">
        <v>194</v>
      </c>
      <c r="H199">
        <v>108762.91</v>
      </c>
      <c r="I199">
        <v>250067.27</v>
      </c>
    </row>
    <row r="200" spans="6:9" x14ac:dyDescent="0.3">
      <c r="F200" s="3" t="s">
        <v>573</v>
      </c>
      <c r="G200" s="3" t="s">
        <v>195</v>
      </c>
      <c r="H200">
        <v>220</v>
      </c>
      <c r="I200">
        <v>220</v>
      </c>
    </row>
    <row r="201" spans="6:9" x14ac:dyDescent="0.3">
      <c r="F201" s="3" t="s">
        <v>574</v>
      </c>
      <c r="G201" s="3" t="s">
        <v>196</v>
      </c>
      <c r="H201">
        <v>1661154.89</v>
      </c>
      <c r="I201">
        <v>3978786.46</v>
      </c>
    </row>
    <row r="202" spans="6:9" x14ac:dyDescent="0.3">
      <c r="F202" s="3" t="s">
        <v>575</v>
      </c>
      <c r="G202" s="3" t="s">
        <v>197</v>
      </c>
      <c r="H202">
        <v>4999.7</v>
      </c>
      <c r="I202">
        <v>37924.370000000003</v>
      </c>
    </row>
    <row r="203" spans="6:9" x14ac:dyDescent="0.3">
      <c r="F203" s="3" t="s">
        <v>576</v>
      </c>
      <c r="G203" s="3" t="s">
        <v>198</v>
      </c>
      <c r="H203">
        <v>21292.06</v>
      </c>
      <c r="I203">
        <v>10523</v>
      </c>
    </row>
    <row r="204" spans="6:9" x14ac:dyDescent="0.3">
      <c r="F204" s="3" t="s">
        <v>577</v>
      </c>
      <c r="G204" s="3" t="s">
        <v>199</v>
      </c>
      <c r="H204">
        <v>68022.13</v>
      </c>
      <c r="I204">
        <v>218659.3</v>
      </c>
    </row>
    <row r="205" spans="6:9" x14ac:dyDescent="0.3">
      <c r="F205" s="3" t="s">
        <v>578</v>
      </c>
      <c r="G205" s="3" t="s">
        <v>396</v>
      </c>
      <c r="H205">
        <v>1864451.69</v>
      </c>
      <c r="I205">
        <v>4496180.4000000004</v>
      </c>
    </row>
    <row r="206" spans="6:9" x14ac:dyDescent="0.3">
      <c r="F206" s="3" t="s">
        <v>3</v>
      </c>
      <c r="G206" s="3" t="s">
        <v>396</v>
      </c>
      <c r="H206">
        <v>31653849.690000001</v>
      </c>
      <c r="I206">
        <v>60490057.890000001</v>
      </c>
    </row>
    <row r="207" spans="6:9" x14ac:dyDescent="0.3">
      <c r="F207" s="3" t="s">
        <v>579</v>
      </c>
      <c r="G207" s="3" t="s">
        <v>200</v>
      </c>
      <c r="H207">
        <v>2184510.71</v>
      </c>
      <c r="I207">
        <v>5661499.5499999998</v>
      </c>
    </row>
    <row r="208" spans="6:9" x14ac:dyDescent="0.3">
      <c r="F208" s="3" t="s">
        <v>580</v>
      </c>
      <c r="G208" s="3" t="s">
        <v>201</v>
      </c>
      <c r="H208">
        <v>5882979.4900000002</v>
      </c>
      <c r="I208">
        <v>0</v>
      </c>
    </row>
    <row r="209" spans="6:9" x14ac:dyDescent="0.3">
      <c r="F209" s="3" t="s">
        <v>581</v>
      </c>
      <c r="G209" s="3" t="s">
        <v>202</v>
      </c>
      <c r="H209">
        <v>178175.76</v>
      </c>
      <c r="I209">
        <v>372684.74</v>
      </c>
    </row>
    <row r="210" spans="6:9" x14ac:dyDescent="0.3">
      <c r="F210" s="3" t="s">
        <v>582</v>
      </c>
      <c r="G210" s="3" t="s">
        <v>396</v>
      </c>
      <c r="H210">
        <v>8245665.96</v>
      </c>
      <c r="I210">
        <v>6034184.29</v>
      </c>
    </row>
    <row r="211" spans="6:9" x14ac:dyDescent="0.3">
      <c r="F211" s="3" t="s">
        <v>583</v>
      </c>
      <c r="G211" s="3" t="s">
        <v>396</v>
      </c>
      <c r="H211">
        <v>8245665.96</v>
      </c>
      <c r="I211">
        <v>6034184.29</v>
      </c>
    </row>
    <row r="212" spans="6:9" x14ac:dyDescent="0.3">
      <c r="F212" s="3" t="s">
        <v>584</v>
      </c>
      <c r="G212" s="3" t="s">
        <v>203</v>
      </c>
      <c r="H212">
        <v>0</v>
      </c>
      <c r="I212">
        <v>1409133.81</v>
      </c>
    </row>
    <row r="213" spans="6:9" x14ac:dyDescent="0.3">
      <c r="F213" s="3" t="s">
        <v>585</v>
      </c>
      <c r="G213" s="3" t="s">
        <v>396</v>
      </c>
      <c r="H213">
        <v>0</v>
      </c>
      <c r="I213">
        <v>1409133.81</v>
      </c>
    </row>
    <row r="214" spans="6:9" x14ac:dyDescent="0.3">
      <c r="F214" s="3" t="s">
        <v>586</v>
      </c>
      <c r="G214" s="3" t="s">
        <v>204</v>
      </c>
      <c r="H214">
        <v>732399.05</v>
      </c>
      <c r="I214">
        <v>2071571.64</v>
      </c>
    </row>
    <row r="215" spans="6:9" x14ac:dyDescent="0.3">
      <c r="F215" s="3" t="s">
        <v>587</v>
      </c>
      <c r="G215" s="3" t="s">
        <v>205</v>
      </c>
      <c r="H215">
        <v>8449460.1699999999</v>
      </c>
      <c r="I215">
        <v>20787139.82</v>
      </c>
    </row>
    <row r="216" spans="6:9" x14ac:dyDescent="0.3">
      <c r="F216" s="3" t="s">
        <v>588</v>
      </c>
      <c r="G216" s="3" t="s">
        <v>206</v>
      </c>
      <c r="H216">
        <v>64280426.229999997</v>
      </c>
      <c r="I216">
        <v>155586318.31999999</v>
      </c>
    </row>
    <row r="217" spans="6:9" x14ac:dyDescent="0.3">
      <c r="F217" s="3" t="s">
        <v>589</v>
      </c>
      <c r="G217" s="3" t="s">
        <v>207</v>
      </c>
      <c r="H217">
        <v>3079092.11</v>
      </c>
      <c r="I217">
        <v>9050158.9000000004</v>
      </c>
    </row>
    <row r="218" spans="6:9" x14ac:dyDescent="0.3">
      <c r="F218" s="3" t="s">
        <v>590</v>
      </c>
      <c r="G218" s="3" t="s">
        <v>208</v>
      </c>
      <c r="H218">
        <v>496760.43</v>
      </c>
      <c r="I218">
        <v>1573359.54</v>
      </c>
    </row>
    <row r="219" spans="6:9" x14ac:dyDescent="0.3">
      <c r="F219" s="3" t="s">
        <v>591</v>
      </c>
      <c r="G219" s="3" t="s">
        <v>209</v>
      </c>
      <c r="H219">
        <v>74731.100000000006</v>
      </c>
      <c r="I219">
        <v>194607.94</v>
      </c>
    </row>
    <row r="220" spans="6:9" x14ac:dyDescent="0.3">
      <c r="F220" s="3" t="s">
        <v>592</v>
      </c>
      <c r="G220" s="3" t="s">
        <v>210</v>
      </c>
      <c r="H220">
        <v>1003923.53</v>
      </c>
      <c r="I220">
        <v>2600181.7799999998</v>
      </c>
    </row>
    <row r="221" spans="6:9" x14ac:dyDescent="0.3">
      <c r="F221" s="3" t="s">
        <v>593</v>
      </c>
      <c r="G221" s="3" t="s">
        <v>211</v>
      </c>
      <c r="H221">
        <v>555209.03</v>
      </c>
      <c r="I221">
        <v>1099280.43</v>
      </c>
    </row>
    <row r="222" spans="6:9" x14ac:dyDescent="0.3">
      <c r="F222" s="3" t="s">
        <v>594</v>
      </c>
      <c r="G222" s="3" t="s">
        <v>212</v>
      </c>
      <c r="H222">
        <v>10287367.08</v>
      </c>
      <c r="I222">
        <v>31881463.710000001</v>
      </c>
    </row>
    <row r="223" spans="6:9" x14ac:dyDescent="0.3">
      <c r="F223" s="3" t="s">
        <v>595</v>
      </c>
      <c r="G223" s="3" t="s">
        <v>213</v>
      </c>
      <c r="H223">
        <v>10213822.550000001</v>
      </c>
      <c r="I223">
        <v>23465797.300000001</v>
      </c>
    </row>
    <row r="224" spans="6:9" x14ac:dyDescent="0.3">
      <c r="F224" s="3" t="s">
        <v>596</v>
      </c>
      <c r="G224" s="3" t="s">
        <v>214</v>
      </c>
      <c r="H224">
        <v>335501.42</v>
      </c>
      <c r="I224">
        <v>874324.95</v>
      </c>
    </row>
    <row r="225" spans="6:9" x14ac:dyDescent="0.3">
      <c r="F225" s="3" t="s">
        <v>597</v>
      </c>
      <c r="G225" s="3" t="s">
        <v>215</v>
      </c>
      <c r="H225">
        <v>25342.22</v>
      </c>
      <c r="I225">
        <v>95115.76</v>
      </c>
    </row>
    <row r="226" spans="6:9" x14ac:dyDescent="0.3">
      <c r="F226" s="3" t="s">
        <v>598</v>
      </c>
      <c r="G226" s="3" t="s">
        <v>216</v>
      </c>
      <c r="H226">
        <v>36292233.149999999</v>
      </c>
      <c r="I226">
        <v>27947107.350000001</v>
      </c>
    </row>
    <row r="227" spans="6:9" x14ac:dyDescent="0.3">
      <c r="F227" s="3" t="s">
        <v>599</v>
      </c>
      <c r="G227" s="3" t="s">
        <v>217</v>
      </c>
      <c r="H227">
        <v>212752.67</v>
      </c>
      <c r="I227">
        <v>399569.67</v>
      </c>
    </row>
    <row r="228" spans="6:9" x14ac:dyDescent="0.3">
      <c r="F228" s="3" t="s">
        <v>600</v>
      </c>
      <c r="G228" s="3" t="s">
        <v>218</v>
      </c>
      <c r="H228">
        <v>-84617.15</v>
      </c>
      <c r="I228">
        <v>-397883.28</v>
      </c>
    </row>
    <row r="229" spans="6:9" x14ac:dyDescent="0.3">
      <c r="F229" s="3" t="s">
        <v>601</v>
      </c>
      <c r="G229" s="3" t="s">
        <v>396</v>
      </c>
      <c r="H229">
        <v>112616660.15000001</v>
      </c>
      <c r="I229">
        <v>277228113.82999998</v>
      </c>
    </row>
    <row r="230" spans="6:9" x14ac:dyDescent="0.3">
      <c r="F230" s="3" t="s">
        <v>602</v>
      </c>
      <c r="G230" s="3" t="s">
        <v>219</v>
      </c>
      <c r="H230">
        <v>1006.15</v>
      </c>
      <c r="I230">
        <v>9993.23</v>
      </c>
    </row>
    <row r="231" spans="6:9" x14ac:dyDescent="0.3">
      <c r="F231" s="3" t="s">
        <v>603</v>
      </c>
      <c r="G231" s="3" t="s">
        <v>220</v>
      </c>
      <c r="H231">
        <v>1936375.4</v>
      </c>
      <c r="I231">
        <v>2875435.47</v>
      </c>
    </row>
    <row r="232" spans="6:9" x14ac:dyDescent="0.3">
      <c r="F232" s="3" t="s">
        <v>604</v>
      </c>
      <c r="G232" s="3" t="s">
        <v>221</v>
      </c>
      <c r="H232">
        <v>11433.54</v>
      </c>
      <c r="I232">
        <v>59523.02</v>
      </c>
    </row>
    <row r="233" spans="6:9" x14ac:dyDescent="0.3">
      <c r="F233" s="3" t="s">
        <v>605</v>
      </c>
      <c r="G233" s="3" t="s">
        <v>222</v>
      </c>
      <c r="H233">
        <v>120126.43</v>
      </c>
      <c r="I233">
        <v>473483.27</v>
      </c>
    </row>
    <row r="234" spans="6:9" x14ac:dyDescent="0.3">
      <c r="F234" s="3" t="s">
        <v>220</v>
      </c>
      <c r="G234" s="3" t="s">
        <v>396</v>
      </c>
      <c r="H234">
        <v>2068941.52</v>
      </c>
      <c r="I234">
        <v>3418434.99</v>
      </c>
    </row>
    <row r="235" spans="6:9" x14ac:dyDescent="0.3">
      <c r="F235" s="3" t="s">
        <v>606</v>
      </c>
      <c r="G235" s="3" t="s">
        <v>223</v>
      </c>
      <c r="H235">
        <v>3672617.54</v>
      </c>
      <c r="I235">
        <v>8230505.0800000001</v>
      </c>
    </row>
    <row r="236" spans="6:9" x14ac:dyDescent="0.3">
      <c r="F236" s="3" t="s">
        <v>607</v>
      </c>
      <c r="G236" s="3" t="s">
        <v>224</v>
      </c>
      <c r="H236">
        <v>1071.69</v>
      </c>
      <c r="I236">
        <v>0</v>
      </c>
    </row>
    <row r="237" spans="6:9" x14ac:dyDescent="0.3">
      <c r="F237" s="3" t="s">
        <v>608</v>
      </c>
      <c r="G237" s="3" t="s">
        <v>225</v>
      </c>
      <c r="H237">
        <v>0</v>
      </c>
      <c r="I237">
        <v>7693.15</v>
      </c>
    </row>
    <row r="238" spans="6:9" x14ac:dyDescent="0.3">
      <c r="F238" s="3" t="s">
        <v>609</v>
      </c>
      <c r="G238" s="3" t="s">
        <v>226</v>
      </c>
      <c r="H238">
        <v>-309.82</v>
      </c>
      <c r="I238">
        <v>274.74</v>
      </c>
    </row>
    <row r="239" spans="6:9" x14ac:dyDescent="0.3">
      <c r="F239" s="3" t="s">
        <v>610</v>
      </c>
      <c r="G239" s="3" t="s">
        <v>227</v>
      </c>
      <c r="H239">
        <v>30571.5</v>
      </c>
      <c r="I239">
        <v>155152.54999999999</v>
      </c>
    </row>
    <row r="240" spans="6:9" x14ac:dyDescent="0.3">
      <c r="F240" s="3" t="s">
        <v>611</v>
      </c>
      <c r="G240" s="3" t="s">
        <v>396</v>
      </c>
      <c r="H240">
        <v>3703950.91</v>
      </c>
      <c r="I240">
        <v>8393625.5199999996</v>
      </c>
    </row>
    <row r="241" spans="6:9" x14ac:dyDescent="0.3">
      <c r="F241" s="3" t="s">
        <v>612</v>
      </c>
      <c r="G241" s="3" t="s">
        <v>228</v>
      </c>
      <c r="H241">
        <v>539194.16</v>
      </c>
      <c r="I241">
        <v>5946036.9199999999</v>
      </c>
    </row>
    <row r="242" spans="6:9" x14ac:dyDescent="0.3">
      <c r="F242" s="3" t="s">
        <v>613</v>
      </c>
      <c r="G242" s="3" t="s">
        <v>229</v>
      </c>
      <c r="H242">
        <v>13794.42</v>
      </c>
      <c r="I242">
        <v>83808.03</v>
      </c>
    </row>
    <row r="243" spans="6:9" x14ac:dyDescent="0.3">
      <c r="F243" s="3" t="s">
        <v>614</v>
      </c>
      <c r="G243" s="3" t="s">
        <v>230</v>
      </c>
      <c r="H243">
        <v>11182888.17</v>
      </c>
      <c r="I243">
        <v>36133563</v>
      </c>
    </row>
    <row r="244" spans="6:9" x14ac:dyDescent="0.3">
      <c r="F244" s="3" t="s">
        <v>615</v>
      </c>
      <c r="G244" s="3" t="s">
        <v>396</v>
      </c>
      <c r="H244">
        <v>11735876.75</v>
      </c>
      <c r="I244">
        <v>42163407.950000003</v>
      </c>
    </row>
    <row r="245" spans="6:9" x14ac:dyDescent="0.3">
      <c r="F245" s="3" t="s">
        <v>616</v>
      </c>
      <c r="G245" s="3" t="s">
        <v>231</v>
      </c>
      <c r="H245">
        <v>267825.39</v>
      </c>
      <c r="I245">
        <v>455221.21</v>
      </c>
    </row>
    <row r="246" spans="6:9" x14ac:dyDescent="0.3">
      <c r="F246" s="3" t="s">
        <v>617</v>
      </c>
      <c r="G246" s="3" t="s">
        <v>232</v>
      </c>
      <c r="H246">
        <v>834515.13</v>
      </c>
      <c r="I246">
        <v>1320299.98</v>
      </c>
    </row>
    <row r="247" spans="6:9" x14ac:dyDescent="0.3">
      <c r="F247" s="3" t="s">
        <v>618</v>
      </c>
      <c r="G247" s="3" t="s">
        <v>233</v>
      </c>
      <c r="H247">
        <v>19518.099999999999</v>
      </c>
      <c r="I247">
        <v>49146.02</v>
      </c>
    </row>
    <row r="248" spans="6:9" x14ac:dyDescent="0.3">
      <c r="F248" s="3" t="s">
        <v>619</v>
      </c>
      <c r="G248" s="3" t="s">
        <v>234</v>
      </c>
      <c r="H248">
        <v>151615.72</v>
      </c>
      <c r="I248">
        <v>226403.20000000001</v>
      </c>
    </row>
    <row r="249" spans="6:9" x14ac:dyDescent="0.3">
      <c r="F249" s="3" t="s">
        <v>620</v>
      </c>
      <c r="G249" s="3" t="s">
        <v>235</v>
      </c>
      <c r="H249">
        <v>77790.05</v>
      </c>
      <c r="I249">
        <v>263255.36</v>
      </c>
    </row>
    <row r="250" spans="6:9" x14ac:dyDescent="0.3">
      <c r="F250" s="3" t="s">
        <v>621</v>
      </c>
      <c r="G250" s="3" t="s">
        <v>236</v>
      </c>
      <c r="H250">
        <v>1996.96</v>
      </c>
      <c r="I250">
        <v>5314.32</v>
      </c>
    </row>
    <row r="251" spans="6:9" x14ac:dyDescent="0.3">
      <c r="F251" s="3" t="s">
        <v>622</v>
      </c>
      <c r="G251" s="3" t="s">
        <v>237</v>
      </c>
      <c r="H251">
        <v>29411.23</v>
      </c>
      <c r="I251">
        <v>61680.41</v>
      </c>
    </row>
    <row r="252" spans="6:9" x14ac:dyDescent="0.3">
      <c r="F252" s="3" t="s">
        <v>623</v>
      </c>
      <c r="G252" s="3" t="s">
        <v>238</v>
      </c>
      <c r="H252">
        <v>2104.36</v>
      </c>
      <c r="I252">
        <v>5581.17</v>
      </c>
    </row>
    <row r="253" spans="6:9" x14ac:dyDescent="0.3">
      <c r="F253" s="3" t="s">
        <v>624</v>
      </c>
      <c r="G253" s="3" t="s">
        <v>239</v>
      </c>
      <c r="H253">
        <v>6980.92</v>
      </c>
      <c r="I253">
        <v>16544.04</v>
      </c>
    </row>
    <row r="254" spans="6:9" x14ac:dyDescent="0.3">
      <c r="F254" s="3" t="s">
        <v>625</v>
      </c>
      <c r="G254" s="3" t="s">
        <v>240</v>
      </c>
      <c r="H254">
        <v>207.87</v>
      </c>
      <c r="I254">
        <v>284.95999999999998</v>
      </c>
    </row>
    <row r="255" spans="6:9" x14ac:dyDescent="0.3">
      <c r="F255" s="3" t="s">
        <v>626</v>
      </c>
      <c r="G255" s="3" t="s">
        <v>241</v>
      </c>
      <c r="H255">
        <v>886.63</v>
      </c>
      <c r="I255">
        <v>46473.59</v>
      </c>
    </row>
    <row r="256" spans="6:9" x14ac:dyDescent="0.3">
      <c r="F256" s="3" t="s">
        <v>627</v>
      </c>
      <c r="G256" s="3" t="s">
        <v>396</v>
      </c>
      <c r="H256">
        <v>1392852.36</v>
      </c>
      <c r="I256">
        <v>2450204.2599999998</v>
      </c>
    </row>
    <row r="257" spans="6:9" x14ac:dyDescent="0.3">
      <c r="F257" s="3" t="s">
        <v>628</v>
      </c>
      <c r="G257" s="3" t="s">
        <v>242</v>
      </c>
      <c r="H257">
        <v>1130358.6200000001</v>
      </c>
      <c r="I257">
        <v>2423403.81</v>
      </c>
    </row>
    <row r="258" spans="6:9" x14ac:dyDescent="0.3">
      <c r="F258" s="3" t="s">
        <v>629</v>
      </c>
      <c r="G258" s="3" t="s">
        <v>243</v>
      </c>
      <c r="H258">
        <v>612795.18000000005</v>
      </c>
      <c r="I258">
        <v>1528707.73</v>
      </c>
    </row>
    <row r="259" spans="6:9" x14ac:dyDescent="0.3">
      <c r="F259" s="3" t="s">
        <v>630</v>
      </c>
      <c r="G259" s="3" t="s">
        <v>244</v>
      </c>
      <c r="H259">
        <v>598673.47</v>
      </c>
      <c r="I259">
        <v>1694307.73</v>
      </c>
    </row>
    <row r="260" spans="6:9" x14ac:dyDescent="0.3">
      <c r="F260" s="3" t="s">
        <v>631</v>
      </c>
      <c r="G260" s="3" t="s">
        <v>245</v>
      </c>
      <c r="H260">
        <v>1900952.85</v>
      </c>
      <c r="I260">
        <v>4709774.54</v>
      </c>
    </row>
    <row r="261" spans="6:9" x14ac:dyDescent="0.3">
      <c r="F261" s="3" t="s">
        <v>632</v>
      </c>
      <c r="G261" s="3" t="s">
        <v>246</v>
      </c>
      <c r="H261">
        <v>450047.67</v>
      </c>
      <c r="I261">
        <v>702060.57</v>
      </c>
    </row>
    <row r="262" spans="6:9" x14ac:dyDescent="0.3">
      <c r="F262" s="3" t="s">
        <v>633</v>
      </c>
      <c r="G262" s="3" t="s">
        <v>247</v>
      </c>
      <c r="H262">
        <v>378680.75</v>
      </c>
      <c r="I262">
        <v>950950.58</v>
      </c>
    </row>
    <row r="263" spans="6:9" x14ac:dyDescent="0.3">
      <c r="F263" s="3" t="s">
        <v>634</v>
      </c>
      <c r="G263" s="3" t="s">
        <v>248</v>
      </c>
      <c r="H263">
        <v>1069424.74</v>
      </c>
      <c r="I263">
        <v>2960537.94</v>
      </c>
    </row>
    <row r="264" spans="6:9" x14ac:dyDescent="0.3">
      <c r="F264" s="3" t="s">
        <v>635</v>
      </c>
      <c r="G264" s="3" t="s">
        <v>249</v>
      </c>
      <c r="H264">
        <v>93670.5</v>
      </c>
      <c r="I264">
        <v>202577.25</v>
      </c>
    </row>
    <row r="265" spans="6:9" x14ac:dyDescent="0.3">
      <c r="F265" s="3" t="s">
        <v>636</v>
      </c>
      <c r="G265" s="3" t="s">
        <v>250</v>
      </c>
      <c r="H265">
        <v>59171</v>
      </c>
      <c r="I265">
        <v>164136</v>
      </c>
    </row>
    <row r="266" spans="6:9" x14ac:dyDescent="0.3">
      <c r="F266" s="3" t="s">
        <v>637</v>
      </c>
      <c r="G266" s="3" t="s">
        <v>396</v>
      </c>
      <c r="H266">
        <v>6293774.7800000003</v>
      </c>
      <c r="I266">
        <v>15336456.15</v>
      </c>
    </row>
    <row r="267" spans="6:9" x14ac:dyDescent="0.3">
      <c r="F267" s="3" t="s">
        <v>638</v>
      </c>
      <c r="G267" s="3" t="s">
        <v>251</v>
      </c>
      <c r="H267">
        <v>7392020.7800000003</v>
      </c>
      <c r="I267">
        <v>17250595.82</v>
      </c>
    </row>
    <row r="268" spans="6:9" x14ac:dyDescent="0.3">
      <c r="F268" s="3" t="s">
        <v>639</v>
      </c>
      <c r="G268" s="3" t="s">
        <v>396</v>
      </c>
      <c r="H268">
        <v>7392020.7800000003</v>
      </c>
      <c r="I268">
        <v>17250595.82</v>
      </c>
    </row>
    <row r="269" spans="6:9" x14ac:dyDescent="0.3">
      <c r="F269" s="3" t="s">
        <v>640</v>
      </c>
      <c r="G269" s="3" t="s">
        <v>252</v>
      </c>
      <c r="H269">
        <v>926258</v>
      </c>
      <c r="I269">
        <v>1908092.43</v>
      </c>
    </row>
    <row r="270" spans="6:9" x14ac:dyDescent="0.3">
      <c r="F270" s="3" t="s">
        <v>641</v>
      </c>
      <c r="G270" s="3" t="s">
        <v>253</v>
      </c>
      <c r="H270">
        <v>150672.29999999999</v>
      </c>
      <c r="I270">
        <v>561359.67000000004</v>
      </c>
    </row>
    <row r="271" spans="6:9" x14ac:dyDescent="0.3">
      <c r="F271" s="3" t="s">
        <v>642</v>
      </c>
      <c r="G271" s="3" t="s">
        <v>254</v>
      </c>
      <c r="H271">
        <v>1092.05</v>
      </c>
      <c r="I271">
        <v>2616.2399999999998</v>
      </c>
    </row>
    <row r="272" spans="6:9" x14ac:dyDescent="0.3">
      <c r="F272" s="3" t="s">
        <v>643</v>
      </c>
      <c r="G272" s="3" t="s">
        <v>396</v>
      </c>
      <c r="H272">
        <v>1078022.3500000001</v>
      </c>
      <c r="I272">
        <v>2472068.34</v>
      </c>
    </row>
    <row r="273" spans="6:9" x14ac:dyDescent="0.3">
      <c r="F273" s="3" t="s">
        <v>644</v>
      </c>
      <c r="G273" s="3" t="s">
        <v>255</v>
      </c>
      <c r="H273">
        <v>18347.34</v>
      </c>
      <c r="I273">
        <v>49622.18</v>
      </c>
    </row>
    <row r="274" spans="6:9" x14ac:dyDescent="0.3">
      <c r="F274" s="3" t="s">
        <v>645</v>
      </c>
      <c r="G274" s="3" t="s">
        <v>256</v>
      </c>
      <c r="H274">
        <v>47261.65</v>
      </c>
      <c r="I274">
        <v>78973.350000000006</v>
      </c>
    </row>
    <row r="275" spans="6:9" x14ac:dyDescent="0.3">
      <c r="F275" s="3" t="s">
        <v>646</v>
      </c>
      <c r="G275" s="3" t="s">
        <v>257</v>
      </c>
      <c r="H275">
        <v>211493.33</v>
      </c>
      <c r="I275">
        <v>325043.63</v>
      </c>
    </row>
    <row r="276" spans="6:9" x14ac:dyDescent="0.3">
      <c r="F276" s="3" t="s">
        <v>647</v>
      </c>
      <c r="G276" s="3" t="s">
        <v>258</v>
      </c>
      <c r="H276">
        <v>35297.980000000003</v>
      </c>
      <c r="I276">
        <v>102371.15</v>
      </c>
    </row>
    <row r="277" spans="6:9" x14ac:dyDescent="0.3">
      <c r="F277" s="3" t="s">
        <v>648</v>
      </c>
      <c r="G277" s="3" t="s">
        <v>259</v>
      </c>
      <c r="H277">
        <v>12127.78</v>
      </c>
      <c r="I277">
        <v>21074.53</v>
      </c>
    </row>
    <row r="278" spans="6:9" x14ac:dyDescent="0.3">
      <c r="F278" s="3" t="s">
        <v>649</v>
      </c>
      <c r="G278" s="3" t="s">
        <v>396</v>
      </c>
      <c r="H278">
        <v>324528.08</v>
      </c>
      <c r="I278">
        <v>577084.84</v>
      </c>
    </row>
    <row r="279" spans="6:9" x14ac:dyDescent="0.3">
      <c r="F279" s="3" t="s">
        <v>650</v>
      </c>
      <c r="G279" s="3" t="s">
        <v>260</v>
      </c>
      <c r="H279">
        <v>230864.04</v>
      </c>
      <c r="I279">
        <v>597533.19999999995</v>
      </c>
    </row>
    <row r="280" spans="6:9" x14ac:dyDescent="0.3">
      <c r="F280" s="3" t="s">
        <v>651</v>
      </c>
      <c r="G280" s="3" t="s">
        <v>261</v>
      </c>
      <c r="H280">
        <v>29317.16</v>
      </c>
      <c r="I280">
        <v>80867.929999999993</v>
      </c>
    </row>
    <row r="281" spans="6:9" x14ac:dyDescent="0.3">
      <c r="F281" s="3" t="s">
        <v>652</v>
      </c>
      <c r="G281" s="3" t="s">
        <v>262</v>
      </c>
      <c r="H281">
        <v>63697.57</v>
      </c>
      <c r="I281">
        <v>141360.24</v>
      </c>
    </row>
    <row r="282" spans="6:9" x14ac:dyDescent="0.3">
      <c r="F282" s="3" t="s">
        <v>653</v>
      </c>
      <c r="G282" s="3" t="s">
        <v>396</v>
      </c>
      <c r="H282">
        <v>323878.77</v>
      </c>
      <c r="I282">
        <v>819761.37</v>
      </c>
    </row>
    <row r="283" spans="6:9" x14ac:dyDescent="0.3">
      <c r="F283" s="3" t="s">
        <v>654</v>
      </c>
      <c r="G283" s="3" t="s">
        <v>263</v>
      </c>
      <c r="H283">
        <v>2</v>
      </c>
      <c r="I283">
        <v>0</v>
      </c>
    </row>
    <row r="284" spans="6:9" x14ac:dyDescent="0.3">
      <c r="F284" s="3" t="s">
        <v>655</v>
      </c>
      <c r="G284" s="3" t="s">
        <v>264</v>
      </c>
      <c r="H284">
        <v>1147292.04</v>
      </c>
      <c r="I284">
        <v>1760977.89</v>
      </c>
    </row>
    <row r="285" spans="6:9" x14ac:dyDescent="0.3">
      <c r="F285" s="3" t="s">
        <v>656</v>
      </c>
      <c r="G285" s="3" t="s">
        <v>265</v>
      </c>
      <c r="H285">
        <v>758790.66</v>
      </c>
      <c r="I285">
        <v>1310017.56</v>
      </c>
    </row>
    <row r="286" spans="6:9" x14ac:dyDescent="0.3">
      <c r="F286" s="3" t="s">
        <v>657</v>
      </c>
      <c r="G286" s="3" t="s">
        <v>396</v>
      </c>
      <c r="H286">
        <v>1906084.7</v>
      </c>
      <c r="I286">
        <v>3070995.45</v>
      </c>
    </row>
    <row r="287" spans="6:9" x14ac:dyDescent="0.3">
      <c r="F287" s="3" t="s">
        <v>658</v>
      </c>
      <c r="G287" s="3" t="s">
        <v>266</v>
      </c>
      <c r="H287">
        <v>640345.52</v>
      </c>
      <c r="I287">
        <v>2293070.3199999998</v>
      </c>
    </row>
    <row r="288" spans="6:9" x14ac:dyDescent="0.3">
      <c r="F288" s="3" t="s">
        <v>659</v>
      </c>
      <c r="G288" s="3" t="s">
        <v>267</v>
      </c>
      <c r="H288">
        <v>277498.74</v>
      </c>
      <c r="I288">
        <v>607624.49</v>
      </c>
    </row>
    <row r="289" spans="6:9" x14ac:dyDescent="0.3">
      <c r="F289" s="3" t="s">
        <v>660</v>
      </c>
      <c r="G289" s="3" t="s">
        <v>268</v>
      </c>
      <c r="H289">
        <v>2265</v>
      </c>
      <c r="I289">
        <v>27118.6</v>
      </c>
    </row>
    <row r="290" spans="6:9" x14ac:dyDescent="0.3">
      <c r="F290" s="3" t="s">
        <v>661</v>
      </c>
      <c r="G290" s="3" t="s">
        <v>269</v>
      </c>
      <c r="H290">
        <v>1624815.9</v>
      </c>
      <c r="I290">
        <v>8759766.4800000004</v>
      </c>
    </row>
    <row r="291" spans="6:9" x14ac:dyDescent="0.3">
      <c r="F291" s="3" t="s">
        <v>662</v>
      </c>
      <c r="G291" s="3" t="s">
        <v>270</v>
      </c>
      <c r="H291">
        <v>310.39999999999998</v>
      </c>
      <c r="I291">
        <v>12385.7</v>
      </c>
    </row>
    <row r="292" spans="6:9" x14ac:dyDescent="0.3">
      <c r="F292" s="3" t="s">
        <v>663</v>
      </c>
      <c r="G292" s="3" t="s">
        <v>396</v>
      </c>
      <c r="H292">
        <v>2545235.56</v>
      </c>
      <c r="I292">
        <v>11699965.59</v>
      </c>
    </row>
    <row r="293" spans="6:9" x14ac:dyDescent="0.3">
      <c r="F293" s="3" t="s">
        <v>664</v>
      </c>
      <c r="G293" s="3" t="s">
        <v>271</v>
      </c>
      <c r="H293">
        <v>94938.09</v>
      </c>
      <c r="I293">
        <v>195746.01</v>
      </c>
    </row>
    <row r="294" spans="6:9" x14ac:dyDescent="0.3">
      <c r="F294" s="3" t="s">
        <v>665</v>
      </c>
      <c r="G294" s="3" t="s">
        <v>272</v>
      </c>
      <c r="H294">
        <v>17003.78</v>
      </c>
      <c r="I294">
        <v>35184.51</v>
      </c>
    </row>
    <row r="295" spans="6:9" x14ac:dyDescent="0.3">
      <c r="F295" s="3" t="s">
        <v>666</v>
      </c>
      <c r="G295" s="3" t="s">
        <v>273</v>
      </c>
      <c r="H295">
        <v>27761.35</v>
      </c>
      <c r="I295">
        <v>29942.3</v>
      </c>
    </row>
    <row r="296" spans="6:9" x14ac:dyDescent="0.3">
      <c r="F296" s="3" t="s">
        <v>667</v>
      </c>
      <c r="G296" s="3" t="s">
        <v>274</v>
      </c>
      <c r="H296">
        <v>30721457.440000001</v>
      </c>
      <c r="I296">
        <v>0</v>
      </c>
    </row>
    <row r="297" spans="6:9" x14ac:dyDescent="0.3">
      <c r="F297" s="3" t="s">
        <v>668</v>
      </c>
      <c r="G297" s="3" t="s">
        <v>275</v>
      </c>
      <c r="H297">
        <v>2128.4</v>
      </c>
      <c r="I297">
        <v>14034.37</v>
      </c>
    </row>
    <row r="298" spans="6:9" x14ac:dyDescent="0.3">
      <c r="F298" s="3" t="s">
        <v>669</v>
      </c>
      <c r="G298" s="3" t="s">
        <v>276</v>
      </c>
      <c r="H298">
        <v>53782.8</v>
      </c>
      <c r="I298">
        <v>77066.509999999995</v>
      </c>
    </row>
    <row r="299" spans="6:9" x14ac:dyDescent="0.3">
      <c r="F299" s="3" t="s">
        <v>670</v>
      </c>
      <c r="G299" s="3" t="s">
        <v>277</v>
      </c>
      <c r="H299">
        <v>15781.05</v>
      </c>
      <c r="I299">
        <v>17306.71</v>
      </c>
    </row>
    <row r="300" spans="6:9" x14ac:dyDescent="0.3">
      <c r="F300" s="3" t="s">
        <v>671</v>
      </c>
      <c r="G300" s="3" t="s">
        <v>278</v>
      </c>
      <c r="H300">
        <v>752370.87</v>
      </c>
      <c r="I300">
        <v>444469.81</v>
      </c>
    </row>
    <row r="301" spans="6:9" x14ac:dyDescent="0.3">
      <c r="F301" s="3" t="s">
        <v>672</v>
      </c>
      <c r="G301" s="3" t="s">
        <v>279</v>
      </c>
      <c r="H301">
        <v>238120.77</v>
      </c>
      <c r="I301">
        <v>588116.85</v>
      </c>
    </row>
    <row r="302" spans="6:9" x14ac:dyDescent="0.3">
      <c r="F302" s="3" t="s">
        <v>673</v>
      </c>
      <c r="G302" s="3" t="s">
        <v>280</v>
      </c>
      <c r="H302">
        <v>28760.55</v>
      </c>
      <c r="I302">
        <v>35433.03</v>
      </c>
    </row>
    <row r="303" spans="6:9" x14ac:dyDescent="0.3">
      <c r="F303" s="3" t="s">
        <v>674</v>
      </c>
      <c r="G303" s="3" t="s">
        <v>281</v>
      </c>
      <c r="H303">
        <v>20778.47</v>
      </c>
      <c r="I303">
        <v>66364.08</v>
      </c>
    </row>
    <row r="304" spans="6:9" x14ac:dyDescent="0.3">
      <c r="F304" s="3" t="s">
        <v>282</v>
      </c>
      <c r="G304" s="3" t="s">
        <v>396</v>
      </c>
      <c r="H304">
        <v>31972883.57</v>
      </c>
      <c r="I304">
        <v>1503664.18</v>
      </c>
    </row>
    <row r="305" spans="6:9" x14ac:dyDescent="0.3">
      <c r="F305" s="3" t="s">
        <v>675</v>
      </c>
      <c r="G305" s="3" t="s">
        <v>283</v>
      </c>
      <c r="H305">
        <v>0</v>
      </c>
      <c r="I305">
        <v>643.04</v>
      </c>
    </row>
    <row r="306" spans="6:9" x14ac:dyDescent="0.3">
      <c r="F306" s="3" t="s">
        <v>676</v>
      </c>
      <c r="G306" s="3" t="s">
        <v>284</v>
      </c>
      <c r="H306">
        <v>127339.33</v>
      </c>
      <c r="I306">
        <v>362542.6</v>
      </c>
    </row>
    <row r="307" spans="6:9" x14ac:dyDescent="0.3">
      <c r="F307" s="3" t="s">
        <v>677</v>
      </c>
      <c r="G307" s="3" t="s">
        <v>396</v>
      </c>
      <c r="H307">
        <v>127339.33</v>
      </c>
      <c r="I307">
        <v>363185.64</v>
      </c>
    </row>
    <row r="308" spans="6:9" x14ac:dyDescent="0.3">
      <c r="F308" s="3" t="s">
        <v>678</v>
      </c>
      <c r="G308" s="3" t="s">
        <v>285</v>
      </c>
      <c r="H308">
        <v>584229.14</v>
      </c>
      <c r="I308">
        <v>1139141.29</v>
      </c>
    </row>
    <row r="309" spans="6:9" x14ac:dyDescent="0.3">
      <c r="F309" s="3" t="s">
        <v>679</v>
      </c>
      <c r="G309" s="3" t="s">
        <v>286</v>
      </c>
      <c r="H309">
        <v>236785.1</v>
      </c>
      <c r="I309">
        <v>321688.19</v>
      </c>
    </row>
    <row r="310" spans="6:9" x14ac:dyDescent="0.3">
      <c r="F310" s="3" t="s">
        <v>680</v>
      </c>
      <c r="G310" s="3" t="s">
        <v>396</v>
      </c>
      <c r="H310">
        <v>821014.24</v>
      </c>
      <c r="I310">
        <v>1460829.48</v>
      </c>
    </row>
    <row r="311" spans="6:9" x14ac:dyDescent="0.3">
      <c r="F311" s="3" t="s">
        <v>681</v>
      </c>
      <c r="G311" s="3" t="s">
        <v>287</v>
      </c>
      <c r="H311">
        <v>567713.02</v>
      </c>
      <c r="I311">
        <v>0</v>
      </c>
    </row>
    <row r="312" spans="6:9" x14ac:dyDescent="0.3">
      <c r="F312" s="3" t="s">
        <v>682</v>
      </c>
      <c r="G312" s="3" t="s">
        <v>288</v>
      </c>
      <c r="H312">
        <v>3366.77</v>
      </c>
      <c r="I312">
        <v>1016.88</v>
      </c>
    </row>
    <row r="313" spans="6:9" x14ac:dyDescent="0.3">
      <c r="F313" s="3" t="s">
        <v>683</v>
      </c>
      <c r="G313" s="3" t="s">
        <v>289</v>
      </c>
      <c r="H313">
        <v>0</v>
      </c>
      <c r="I313">
        <v>61106.400000000001</v>
      </c>
    </row>
    <row r="314" spans="6:9" x14ac:dyDescent="0.3">
      <c r="F314" s="3" t="s">
        <v>684</v>
      </c>
      <c r="G314" s="3" t="s">
        <v>290</v>
      </c>
      <c r="H314">
        <v>125792.36</v>
      </c>
      <c r="I314">
        <v>216528.26</v>
      </c>
    </row>
    <row r="315" spans="6:9" x14ac:dyDescent="0.3">
      <c r="F315" s="3" t="s">
        <v>685</v>
      </c>
      <c r="G315" s="3" t="s">
        <v>291</v>
      </c>
      <c r="H315">
        <v>40023.31</v>
      </c>
      <c r="I315">
        <v>87676.34</v>
      </c>
    </row>
    <row r="316" spans="6:9" x14ac:dyDescent="0.3">
      <c r="F316" s="3" t="s">
        <v>686</v>
      </c>
      <c r="G316" s="3" t="s">
        <v>292</v>
      </c>
      <c r="H316">
        <v>570132.14</v>
      </c>
      <c r="I316">
        <v>1083379.3899999999</v>
      </c>
    </row>
    <row r="317" spans="6:9" x14ac:dyDescent="0.3">
      <c r="F317" s="3" t="s">
        <v>687</v>
      </c>
      <c r="G317" s="3" t="s">
        <v>293</v>
      </c>
      <c r="H317">
        <v>38891.949999999997</v>
      </c>
      <c r="I317">
        <v>107653.54</v>
      </c>
    </row>
    <row r="318" spans="6:9" x14ac:dyDescent="0.3">
      <c r="F318" s="3" t="s">
        <v>688</v>
      </c>
      <c r="G318" s="3" t="s">
        <v>294</v>
      </c>
      <c r="H318">
        <v>0</v>
      </c>
      <c r="I318">
        <v>12000</v>
      </c>
    </row>
    <row r="319" spans="6:9" x14ac:dyDescent="0.3">
      <c r="F319" s="3" t="s">
        <v>689</v>
      </c>
      <c r="G319" s="3" t="s">
        <v>295</v>
      </c>
      <c r="H319">
        <v>4242675.68</v>
      </c>
      <c r="I319">
        <v>14635765.460000001</v>
      </c>
    </row>
    <row r="320" spans="6:9" x14ac:dyDescent="0.3">
      <c r="F320" s="3" t="s">
        <v>690</v>
      </c>
      <c r="G320" s="3" t="s">
        <v>296</v>
      </c>
      <c r="H320">
        <v>380</v>
      </c>
      <c r="I320">
        <v>2115</v>
      </c>
    </row>
    <row r="321" spans="6:9" x14ac:dyDescent="0.3">
      <c r="F321" s="3" t="s">
        <v>691</v>
      </c>
      <c r="G321" s="3" t="s">
        <v>297</v>
      </c>
      <c r="H321">
        <v>188484.99</v>
      </c>
      <c r="I321">
        <v>202097.63</v>
      </c>
    </row>
    <row r="322" spans="6:9" x14ac:dyDescent="0.3">
      <c r="F322" s="3" t="s">
        <v>692</v>
      </c>
      <c r="G322" s="3" t="s">
        <v>298</v>
      </c>
      <c r="H322">
        <v>2455756.0699999998</v>
      </c>
      <c r="I322">
        <v>3550292.67</v>
      </c>
    </row>
    <row r="323" spans="6:9" x14ac:dyDescent="0.3">
      <c r="F323" s="3" t="s">
        <v>693</v>
      </c>
      <c r="G323" s="3" t="s">
        <v>299</v>
      </c>
      <c r="H323">
        <v>100312.55</v>
      </c>
      <c r="I323">
        <v>172909.64</v>
      </c>
    </row>
    <row r="324" spans="6:9" x14ac:dyDescent="0.3">
      <c r="F324" s="3" t="s">
        <v>694</v>
      </c>
      <c r="G324" s="3" t="s">
        <v>300</v>
      </c>
      <c r="H324">
        <v>740721.27</v>
      </c>
      <c r="I324">
        <v>1381043.7</v>
      </c>
    </row>
    <row r="325" spans="6:9" x14ac:dyDescent="0.3">
      <c r="F325" s="3" t="s">
        <v>695</v>
      </c>
      <c r="G325" s="3" t="s">
        <v>301</v>
      </c>
      <c r="H325">
        <v>570000</v>
      </c>
      <c r="I325">
        <v>1256181.82</v>
      </c>
    </row>
    <row r="326" spans="6:9" x14ac:dyDescent="0.3">
      <c r="F326" s="3" t="s">
        <v>696</v>
      </c>
      <c r="G326" s="3" t="s">
        <v>302</v>
      </c>
      <c r="H326">
        <v>81420.070000000007</v>
      </c>
      <c r="I326">
        <v>68845.81</v>
      </c>
    </row>
    <row r="327" spans="6:9" x14ac:dyDescent="0.3">
      <c r="F327" s="3" t="s">
        <v>697</v>
      </c>
      <c r="G327" s="3" t="s">
        <v>303</v>
      </c>
      <c r="H327">
        <v>39178.449999999997</v>
      </c>
      <c r="I327">
        <v>77408.39</v>
      </c>
    </row>
    <row r="328" spans="6:9" x14ac:dyDescent="0.3">
      <c r="F328" s="3" t="s">
        <v>698</v>
      </c>
      <c r="G328" s="3" t="s">
        <v>304</v>
      </c>
      <c r="H328">
        <v>1191823.78</v>
      </c>
      <c r="I328">
        <v>2102891.5</v>
      </c>
    </row>
    <row r="329" spans="6:9" x14ac:dyDescent="0.3">
      <c r="F329" s="3" t="s">
        <v>699</v>
      </c>
      <c r="G329" s="3" t="s">
        <v>305</v>
      </c>
      <c r="H329">
        <v>37.700000000000003</v>
      </c>
      <c r="I329">
        <v>39.76</v>
      </c>
    </row>
    <row r="330" spans="6:9" x14ac:dyDescent="0.3">
      <c r="F330" s="3" t="s">
        <v>700</v>
      </c>
      <c r="G330" s="3" t="s">
        <v>306</v>
      </c>
      <c r="H330">
        <v>0</v>
      </c>
      <c r="I330">
        <v>5873</v>
      </c>
    </row>
    <row r="331" spans="6:9" x14ac:dyDescent="0.3">
      <c r="F331" s="3" t="s">
        <v>701</v>
      </c>
      <c r="G331" s="3" t="s">
        <v>307</v>
      </c>
      <c r="H331">
        <v>20514358.600000001</v>
      </c>
      <c r="I331">
        <v>73358724.900000006</v>
      </c>
    </row>
    <row r="332" spans="6:9" x14ac:dyDescent="0.3">
      <c r="F332" s="3" t="s">
        <v>702</v>
      </c>
      <c r="G332" s="3" t="s">
        <v>308</v>
      </c>
      <c r="H332">
        <v>1365</v>
      </c>
      <c r="I332">
        <v>1226113.5</v>
      </c>
    </row>
    <row r="333" spans="6:9" x14ac:dyDescent="0.3">
      <c r="F333" s="3" t="s">
        <v>703</v>
      </c>
      <c r="G333" s="3" t="s">
        <v>309</v>
      </c>
      <c r="H333">
        <v>6129.01</v>
      </c>
      <c r="I333">
        <v>546533.30000000005</v>
      </c>
    </row>
    <row r="334" spans="6:9" x14ac:dyDescent="0.3">
      <c r="F334" s="3" t="s">
        <v>704</v>
      </c>
      <c r="G334" s="3" t="s">
        <v>310</v>
      </c>
      <c r="H334">
        <v>120864.88</v>
      </c>
      <c r="I334">
        <v>442946.9</v>
      </c>
    </row>
    <row r="335" spans="6:9" x14ac:dyDescent="0.3">
      <c r="F335" s="3" t="s">
        <v>705</v>
      </c>
      <c r="G335" s="3" t="s">
        <v>311</v>
      </c>
      <c r="H335">
        <v>855094.87</v>
      </c>
      <c r="I335">
        <v>1390086.14</v>
      </c>
    </row>
    <row r="336" spans="6:9" x14ac:dyDescent="0.3">
      <c r="F336" s="3" t="s">
        <v>706</v>
      </c>
      <c r="G336" s="3" t="s">
        <v>312</v>
      </c>
      <c r="H336">
        <v>214583.65</v>
      </c>
      <c r="I336">
        <v>1166571.07</v>
      </c>
    </row>
    <row r="337" spans="6:9" x14ac:dyDescent="0.3">
      <c r="F337" s="3" t="s">
        <v>707</v>
      </c>
      <c r="G337" s="3" t="s">
        <v>313</v>
      </c>
      <c r="H337">
        <v>-279761.68</v>
      </c>
      <c r="I337">
        <v>-255716.02</v>
      </c>
    </row>
    <row r="338" spans="6:9" x14ac:dyDescent="0.3">
      <c r="F338" s="3" t="s">
        <v>708</v>
      </c>
      <c r="G338" s="3" t="s">
        <v>314</v>
      </c>
      <c r="H338">
        <v>32</v>
      </c>
      <c r="I338">
        <v>148</v>
      </c>
    </row>
    <row r="339" spans="6:9" x14ac:dyDescent="0.3">
      <c r="F339" s="3" t="s">
        <v>709</v>
      </c>
      <c r="G339" s="3" t="s">
        <v>315</v>
      </c>
      <c r="H339">
        <v>443.79</v>
      </c>
      <c r="I339">
        <v>42436.65</v>
      </c>
    </row>
    <row r="340" spans="6:9" x14ac:dyDescent="0.3">
      <c r="F340" s="3" t="s">
        <v>710</v>
      </c>
      <c r="G340" s="3" t="s">
        <v>316</v>
      </c>
      <c r="H340">
        <v>0</v>
      </c>
      <c r="I340">
        <v>3770.72</v>
      </c>
    </row>
    <row r="341" spans="6:9" x14ac:dyDescent="0.3">
      <c r="F341" s="3" t="s">
        <v>711</v>
      </c>
      <c r="G341" s="3" t="s">
        <v>317</v>
      </c>
      <c r="H341">
        <v>0</v>
      </c>
      <c r="I341">
        <v>15489.98</v>
      </c>
    </row>
    <row r="342" spans="6:9" x14ac:dyDescent="0.3">
      <c r="F342" s="3" t="s">
        <v>712</v>
      </c>
      <c r="G342" s="3" t="s">
        <v>318</v>
      </c>
      <c r="H342">
        <v>0</v>
      </c>
      <c r="I342">
        <v>2143.41</v>
      </c>
    </row>
    <row r="343" spans="6:9" x14ac:dyDescent="0.3">
      <c r="F343" s="3" t="s">
        <v>713</v>
      </c>
      <c r="G343" s="3" t="s">
        <v>319</v>
      </c>
      <c r="H343">
        <v>-6129.01</v>
      </c>
      <c r="I343">
        <v>-546533.30000000005</v>
      </c>
    </row>
    <row r="344" spans="6:9" x14ac:dyDescent="0.3">
      <c r="F344" s="3" t="s">
        <v>714</v>
      </c>
      <c r="G344" s="3" t="s">
        <v>320</v>
      </c>
      <c r="H344">
        <v>2222.89</v>
      </c>
      <c r="I344">
        <v>401.26</v>
      </c>
    </row>
    <row r="345" spans="6:9" x14ac:dyDescent="0.3">
      <c r="F345" s="3" t="s">
        <v>715</v>
      </c>
      <c r="G345" s="3" t="s">
        <v>321</v>
      </c>
      <c r="H345">
        <v>1.82</v>
      </c>
      <c r="I345">
        <v>10.52</v>
      </c>
    </row>
    <row r="346" spans="6:9" x14ac:dyDescent="0.3">
      <c r="F346" s="3" t="s">
        <v>716</v>
      </c>
      <c r="G346" s="3" t="s">
        <v>322</v>
      </c>
      <c r="H346">
        <v>-262.58</v>
      </c>
      <c r="I346">
        <v>-646.89</v>
      </c>
    </row>
    <row r="347" spans="6:9" x14ac:dyDescent="0.3">
      <c r="F347" s="3" t="s">
        <v>717</v>
      </c>
      <c r="G347" s="3" t="s">
        <v>396</v>
      </c>
      <c r="H347">
        <v>32385653.350000001</v>
      </c>
      <c r="I347">
        <v>102417305.33</v>
      </c>
    </row>
    <row r="348" spans="6:9" x14ac:dyDescent="0.3">
      <c r="F348" s="3" t="s">
        <v>718</v>
      </c>
      <c r="G348" s="3" t="s">
        <v>396</v>
      </c>
      <c r="H348">
        <v>240026460.63999999</v>
      </c>
      <c r="I348">
        <v>490625698.74000001</v>
      </c>
    </row>
    <row r="349" spans="6:9" x14ac:dyDescent="0.3">
      <c r="F349" s="3" t="s">
        <v>5</v>
      </c>
      <c r="G349" s="3" t="s">
        <v>396</v>
      </c>
      <c r="H349">
        <v>240026460.63999999</v>
      </c>
      <c r="I349">
        <v>492034832.55000001</v>
      </c>
    </row>
    <row r="350" spans="6:9" x14ac:dyDescent="0.3">
      <c r="F350" s="3" t="s">
        <v>719</v>
      </c>
      <c r="G350" s="3" t="s">
        <v>323</v>
      </c>
      <c r="H350">
        <v>-184920000</v>
      </c>
      <c r="I350">
        <v>0</v>
      </c>
    </row>
    <row r="351" spans="6:9" x14ac:dyDescent="0.3">
      <c r="F351" s="3" t="s">
        <v>720</v>
      </c>
      <c r="G351" s="3" t="s">
        <v>324</v>
      </c>
      <c r="H351">
        <v>0</v>
      </c>
      <c r="I351">
        <v>-229349074.21000001</v>
      </c>
    </row>
    <row r="352" spans="6:9" x14ac:dyDescent="0.3">
      <c r="F352" s="3" t="s">
        <v>721</v>
      </c>
      <c r="G352" s="3" t="s">
        <v>396</v>
      </c>
      <c r="H352">
        <v>-184920000</v>
      </c>
      <c r="I352">
        <v>-229349074.21000001</v>
      </c>
    </row>
    <row r="353" spans="6:9" x14ac:dyDescent="0.3">
      <c r="F353" s="3" t="s">
        <v>722</v>
      </c>
      <c r="G353" s="3" t="s">
        <v>325</v>
      </c>
      <c r="H353">
        <v>1754640.64</v>
      </c>
      <c r="I353">
        <v>5725035.21</v>
      </c>
    </row>
    <row r="354" spans="6:9" x14ac:dyDescent="0.3">
      <c r="F354" s="3" t="s">
        <v>723</v>
      </c>
      <c r="G354" s="3" t="s">
        <v>326</v>
      </c>
      <c r="H354">
        <v>-8389.4500000000007</v>
      </c>
      <c r="I354">
        <v>-137243.71</v>
      </c>
    </row>
    <row r="355" spans="6:9" x14ac:dyDescent="0.3">
      <c r="F355" s="3" t="s">
        <v>724</v>
      </c>
      <c r="G355" s="3" t="s">
        <v>327</v>
      </c>
      <c r="H355">
        <v>0</v>
      </c>
      <c r="I355">
        <v>-21045.15</v>
      </c>
    </row>
    <row r="356" spans="6:9" x14ac:dyDescent="0.3">
      <c r="F356" s="3" t="s">
        <v>725</v>
      </c>
      <c r="G356" s="3" t="s">
        <v>328</v>
      </c>
      <c r="H356">
        <v>-1659766.12</v>
      </c>
      <c r="I356">
        <v>-3710228.06</v>
      </c>
    </row>
    <row r="357" spans="6:9" x14ac:dyDescent="0.3">
      <c r="F357" s="3" t="s">
        <v>726</v>
      </c>
      <c r="G357" s="3" t="s">
        <v>329</v>
      </c>
      <c r="H357">
        <v>0</v>
      </c>
      <c r="I357">
        <v>-2448491.2599999998</v>
      </c>
    </row>
    <row r="358" spans="6:9" x14ac:dyDescent="0.3">
      <c r="F358" s="3" t="s">
        <v>727</v>
      </c>
      <c r="G358" s="3" t="s">
        <v>330</v>
      </c>
      <c r="H358">
        <v>0</v>
      </c>
      <c r="I358">
        <v>-12018.57</v>
      </c>
    </row>
    <row r="359" spans="6:9" x14ac:dyDescent="0.3">
      <c r="F359" s="3" t="s">
        <v>728</v>
      </c>
      <c r="G359" s="3" t="s">
        <v>331</v>
      </c>
      <c r="H359">
        <v>-14298618.57</v>
      </c>
      <c r="I359">
        <v>-23521003.789999999</v>
      </c>
    </row>
    <row r="360" spans="6:9" x14ac:dyDescent="0.3">
      <c r="F360" s="3" t="s">
        <v>729</v>
      </c>
      <c r="G360" s="3" t="s">
        <v>332</v>
      </c>
      <c r="H360">
        <v>-11131.6</v>
      </c>
      <c r="I360">
        <v>-17338.2</v>
      </c>
    </row>
    <row r="361" spans="6:9" x14ac:dyDescent="0.3">
      <c r="F361" s="3" t="s">
        <v>730</v>
      </c>
      <c r="G361" s="3" t="s">
        <v>333</v>
      </c>
      <c r="H361">
        <v>-14662092.43</v>
      </c>
      <c r="I361">
        <v>-10004923.369999999</v>
      </c>
    </row>
    <row r="362" spans="6:9" x14ac:dyDescent="0.3">
      <c r="F362" s="3" t="s">
        <v>731</v>
      </c>
      <c r="G362" s="3" t="s">
        <v>334</v>
      </c>
      <c r="H362">
        <v>0</v>
      </c>
      <c r="I362">
        <v>-572.22</v>
      </c>
    </row>
    <row r="363" spans="6:9" x14ac:dyDescent="0.3">
      <c r="F363" s="3" t="s">
        <v>732</v>
      </c>
      <c r="G363" s="3" t="s">
        <v>335</v>
      </c>
      <c r="H363">
        <v>0</v>
      </c>
      <c r="I363">
        <v>-1605067.91</v>
      </c>
    </row>
    <row r="364" spans="6:9" x14ac:dyDescent="0.3">
      <c r="F364" s="3" t="s">
        <v>733</v>
      </c>
      <c r="G364" s="3" t="s">
        <v>336</v>
      </c>
      <c r="H364">
        <v>-41255.99</v>
      </c>
      <c r="I364">
        <v>-507259.57</v>
      </c>
    </row>
    <row r="365" spans="6:9" x14ac:dyDescent="0.3">
      <c r="F365" s="3" t="s">
        <v>734</v>
      </c>
      <c r="G365" s="3" t="s">
        <v>396</v>
      </c>
      <c r="H365">
        <v>-23242377.68</v>
      </c>
      <c r="I365">
        <v>-36260156.600000001</v>
      </c>
    </row>
    <row r="366" spans="6:9" x14ac:dyDescent="0.3">
      <c r="F366" s="3" t="s">
        <v>735</v>
      </c>
      <c r="G366" s="3" t="s">
        <v>337</v>
      </c>
      <c r="H366">
        <v>0</v>
      </c>
      <c r="I366">
        <v>-3713.85</v>
      </c>
    </row>
    <row r="367" spans="6:9" x14ac:dyDescent="0.3">
      <c r="F367" s="3" t="s">
        <v>736</v>
      </c>
      <c r="G367" s="3" t="s">
        <v>338</v>
      </c>
      <c r="H367">
        <v>0</v>
      </c>
      <c r="I367">
        <v>800000</v>
      </c>
    </row>
    <row r="368" spans="6:9" x14ac:dyDescent="0.3">
      <c r="F368" s="3" t="s">
        <v>737</v>
      </c>
      <c r="G368" s="3" t="s">
        <v>396</v>
      </c>
      <c r="H368">
        <v>0</v>
      </c>
      <c r="I368">
        <v>796286.15</v>
      </c>
    </row>
    <row r="369" spans="6:9" x14ac:dyDescent="0.3">
      <c r="F369" s="3" t="s">
        <v>738</v>
      </c>
      <c r="G369" s="3" t="s">
        <v>339</v>
      </c>
      <c r="H369">
        <v>160723.85999999999</v>
      </c>
      <c r="I369">
        <v>808441.82</v>
      </c>
    </row>
    <row r="370" spans="6:9" x14ac:dyDescent="0.3">
      <c r="F370" s="3" t="s">
        <v>739</v>
      </c>
      <c r="G370" s="3" t="s">
        <v>340</v>
      </c>
      <c r="H370">
        <v>1936559.29</v>
      </c>
      <c r="I370">
        <v>4489338.07</v>
      </c>
    </row>
    <row r="371" spans="6:9" x14ac:dyDescent="0.3">
      <c r="F371" s="3" t="s">
        <v>740</v>
      </c>
      <c r="G371" s="3" t="s">
        <v>341</v>
      </c>
      <c r="H371">
        <v>-2767.04</v>
      </c>
      <c r="I371">
        <v>2480450.77</v>
      </c>
    </row>
    <row r="372" spans="6:9" x14ac:dyDescent="0.3">
      <c r="F372" s="3" t="s">
        <v>741</v>
      </c>
      <c r="G372" s="3" t="s">
        <v>342</v>
      </c>
      <c r="H372">
        <v>24082865.75</v>
      </c>
      <c r="I372">
        <v>58818191.719999999</v>
      </c>
    </row>
    <row r="373" spans="6:9" x14ac:dyDescent="0.3">
      <c r="F373" s="3" t="s">
        <v>742</v>
      </c>
      <c r="G373" s="3" t="s">
        <v>343</v>
      </c>
      <c r="H373">
        <v>357194.23999999999</v>
      </c>
      <c r="I373">
        <v>975180.52</v>
      </c>
    </row>
    <row r="374" spans="6:9" x14ac:dyDescent="0.3">
      <c r="F374" s="3" t="s">
        <v>743</v>
      </c>
      <c r="G374" s="3" t="s">
        <v>344</v>
      </c>
      <c r="H374">
        <v>1988342.72</v>
      </c>
      <c r="I374">
        <v>6478519.29</v>
      </c>
    </row>
    <row r="375" spans="6:9" x14ac:dyDescent="0.3">
      <c r="F375" s="3" t="s">
        <v>744</v>
      </c>
      <c r="G375" s="3" t="s">
        <v>345</v>
      </c>
      <c r="H375">
        <v>44123.33</v>
      </c>
      <c r="I375">
        <v>642574.46</v>
      </c>
    </row>
    <row r="376" spans="6:9" x14ac:dyDescent="0.3">
      <c r="F376" s="3" t="s">
        <v>745</v>
      </c>
      <c r="G376" s="3" t="s">
        <v>346</v>
      </c>
      <c r="H376">
        <v>622929.44999999995</v>
      </c>
      <c r="I376">
        <v>3761306.91</v>
      </c>
    </row>
    <row r="377" spans="6:9" x14ac:dyDescent="0.3">
      <c r="F377" s="3" t="s">
        <v>746</v>
      </c>
      <c r="G377" s="3" t="s">
        <v>347</v>
      </c>
      <c r="H377">
        <v>94256.49</v>
      </c>
      <c r="I377">
        <v>163950.89000000001</v>
      </c>
    </row>
    <row r="378" spans="6:9" x14ac:dyDescent="0.3">
      <c r="F378" s="3" t="s">
        <v>747</v>
      </c>
      <c r="G378" s="3" t="s">
        <v>348</v>
      </c>
      <c r="H378">
        <v>15</v>
      </c>
      <c r="I378">
        <v>550.14</v>
      </c>
    </row>
    <row r="379" spans="6:9" x14ac:dyDescent="0.3">
      <c r="F379" s="3" t="s">
        <v>748</v>
      </c>
      <c r="G379" s="3" t="s">
        <v>349</v>
      </c>
      <c r="H379">
        <v>705917.56</v>
      </c>
      <c r="I379">
        <v>610296.9</v>
      </c>
    </row>
    <row r="380" spans="6:9" x14ac:dyDescent="0.3">
      <c r="F380" s="3" t="s">
        <v>749</v>
      </c>
      <c r="G380" s="3" t="s">
        <v>350</v>
      </c>
      <c r="H380">
        <v>1390.21</v>
      </c>
      <c r="I380">
        <v>98806.66</v>
      </c>
    </row>
    <row r="381" spans="6:9" x14ac:dyDescent="0.3">
      <c r="F381" s="3" t="s">
        <v>750</v>
      </c>
      <c r="G381" s="3" t="s">
        <v>351</v>
      </c>
      <c r="H381">
        <v>3234.13</v>
      </c>
      <c r="I381">
        <v>16808.939999999999</v>
      </c>
    </row>
    <row r="382" spans="6:9" x14ac:dyDescent="0.3">
      <c r="F382" s="3" t="s">
        <v>751</v>
      </c>
      <c r="G382" s="3" t="s">
        <v>352</v>
      </c>
      <c r="H382">
        <v>226165</v>
      </c>
      <c r="I382">
        <v>358188.55</v>
      </c>
    </row>
    <row r="383" spans="6:9" x14ac:dyDescent="0.3">
      <c r="F383" s="3" t="s">
        <v>752</v>
      </c>
      <c r="G383" s="3" t="s">
        <v>353</v>
      </c>
      <c r="H383">
        <v>94250.01</v>
      </c>
      <c r="I383">
        <v>203843.35</v>
      </c>
    </row>
    <row r="384" spans="6:9" x14ac:dyDescent="0.3">
      <c r="F384" s="3" t="s">
        <v>753</v>
      </c>
      <c r="G384" s="3" t="s">
        <v>354</v>
      </c>
      <c r="H384">
        <v>23633793.989999998</v>
      </c>
      <c r="I384">
        <v>18002347.25</v>
      </c>
    </row>
    <row r="385" spans="6:9" x14ac:dyDescent="0.3">
      <c r="F385" s="3" t="s">
        <v>754</v>
      </c>
      <c r="G385" s="3" t="s">
        <v>355</v>
      </c>
      <c r="H385">
        <v>2060354.39</v>
      </c>
      <c r="I385">
        <v>6625097.1699999999</v>
      </c>
    </row>
    <row r="386" spans="6:9" x14ac:dyDescent="0.3">
      <c r="F386" s="3" t="s">
        <v>755</v>
      </c>
      <c r="G386" s="3" t="s">
        <v>356</v>
      </c>
      <c r="H386">
        <v>565012.9</v>
      </c>
      <c r="I386">
        <v>272665.26</v>
      </c>
    </row>
    <row r="387" spans="6:9" x14ac:dyDescent="0.3">
      <c r="F387" s="3" t="s">
        <v>756</v>
      </c>
      <c r="G387" s="3" t="s">
        <v>357</v>
      </c>
      <c r="H387">
        <v>0</v>
      </c>
      <c r="I387">
        <v>17878610.440000001</v>
      </c>
    </row>
    <row r="388" spans="6:9" x14ac:dyDescent="0.3">
      <c r="F388" s="3" t="s">
        <v>757</v>
      </c>
      <c r="G388" s="3" t="s">
        <v>358</v>
      </c>
      <c r="H388">
        <v>16754728.720000001</v>
      </c>
      <c r="I388">
        <v>10856058.439999999</v>
      </c>
    </row>
    <row r="389" spans="6:9" x14ac:dyDescent="0.3">
      <c r="F389" s="3" t="s">
        <v>758</v>
      </c>
      <c r="G389" s="3" t="s">
        <v>359</v>
      </c>
      <c r="H389">
        <v>181555.53</v>
      </c>
      <c r="I389">
        <v>-22524.53</v>
      </c>
    </row>
    <row r="390" spans="6:9" x14ac:dyDescent="0.3">
      <c r="F390" s="3" t="s">
        <v>759</v>
      </c>
      <c r="G390" s="3" t="s">
        <v>359</v>
      </c>
      <c r="H390">
        <v>8516.6</v>
      </c>
      <c r="I390">
        <v>-55903.64</v>
      </c>
    </row>
    <row r="391" spans="6:9" x14ac:dyDescent="0.3">
      <c r="F391" s="3" t="s">
        <v>760</v>
      </c>
      <c r="G391" s="3" t="s">
        <v>360</v>
      </c>
      <c r="H391">
        <v>-454065.8</v>
      </c>
      <c r="I391">
        <v>453550.46</v>
      </c>
    </row>
    <row r="392" spans="6:9" x14ac:dyDescent="0.3">
      <c r="F392" s="3" t="s">
        <v>761</v>
      </c>
      <c r="G392" s="3" t="s">
        <v>361</v>
      </c>
      <c r="H392">
        <v>3400206.82</v>
      </c>
      <c r="I392">
        <v>6723021.5099999998</v>
      </c>
    </row>
    <row r="393" spans="6:9" x14ac:dyDescent="0.3">
      <c r="F393" s="3" t="s">
        <v>762</v>
      </c>
      <c r="G393" s="3" t="s">
        <v>362</v>
      </c>
      <c r="H393">
        <v>466514.65</v>
      </c>
      <c r="I393">
        <v>50767.65</v>
      </c>
    </row>
    <row r="394" spans="6:9" x14ac:dyDescent="0.3">
      <c r="F394" s="3" t="s">
        <v>763</v>
      </c>
      <c r="G394" s="3" t="s">
        <v>363</v>
      </c>
      <c r="H394">
        <v>-5880559.4900000002</v>
      </c>
      <c r="I394">
        <v>9555114.0500000007</v>
      </c>
    </row>
    <row r="395" spans="6:9" x14ac:dyDescent="0.3">
      <c r="F395" s="3" t="s">
        <v>764</v>
      </c>
      <c r="G395" s="3" t="s">
        <v>364</v>
      </c>
      <c r="H395">
        <v>368811.92</v>
      </c>
      <c r="I395">
        <v>-1681673.05</v>
      </c>
    </row>
    <row r="396" spans="6:9" x14ac:dyDescent="0.3">
      <c r="F396" s="3" t="s">
        <v>765</v>
      </c>
      <c r="G396" s="3" t="s">
        <v>365</v>
      </c>
      <c r="H396">
        <v>4000510.15</v>
      </c>
      <c r="I396">
        <v>2431319.5</v>
      </c>
    </row>
    <row r="397" spans="6:9" x14ac:dyDescent="0.3">
      <c r="F397" s="3" t="s">
        <v>766</v>
      </c>
      <c r="G397" s="3" t="s">
        <v>366</v>
      </c>
      <c r="H397">
        <v>121404.22</v>
      </c>
      <c r="I397">
        <v>442619.32</v>
      </c>
    </row>
    <row r="398" spans="6:9" x14ac:dyDescent="0.3">
      <c r="F398" s="3" t="s">
        <v>767</v>
      </c>
      <c r="G398" s="3" t="s">
        <v>367</v>
      </c>
      <c r="H398">
        <v>3166503.07</v>
      </c>
      <c r="I398">
        <v>9015345.6699999999</v>
      </c>
    </row>
    <row r="399" spans="6:9" x14ac:dyDescent="0.3">
      <c r="F399" s="3" t="s">
        <v>768</v>
      </c>
      <c r="G399" s="3" t="s">
        <v>368</v>
      </c>
      <c r="H399">
        <v>22962.94</v>
      </c>
      <c r="I399">
        <v>20703.330000000002</v>
      </c>
    </row>
    <row r="400" spans="6:9" x14ac:dyDescent="0.3">
      <c r="F400" s="3" t="s">
        <v>769</v>
      </c>
      <c r="G400" s="3" t="s">
        <v>369</v>
      </c>
      <c r="H400">
        <v>-2085.89</v>
      </c>
      <c r="I400">
        <v>238589.16</v>
      </c>
    </row>
    <row r="401" spans="6:9" x14ac:dyDescent="0.3">
      <c r="F401" s="3" t="s">
        <v>770</v>
      </c>
      <c r="G401" s="3" t="s">
        <v>370</v>
      </c>
      <c r="H401">
        <v>1011833.74</v>
      </c>
      <c r="I401">
        <v>5174954.55</v>
      </c>
    </row>
    <row r="402" spans="6:9" x14ac:dyDescent="0.3">
      <c r="F402" s="3" t="s">
        <v>771</v>
      </c>
      <c r="G402" s="3" t="s">
        <v>396</v>
      </c>
      <c r="H402">
        <v>79741198.459999993</v>
      </c>
      <c r="I402">
        <v>165887111.53</v>
      </c>
    </row>
    <row r="403" spans="6:9" x14ac:dyDescent="0.3">
      <c r="F403" s="3" t="s">
        <v>772</v>
      </c>
      <c r="G403" s="3" t="s">
        <v>396</v>
      </c>
      <c r="H403">
        <v>-134105415.06</v>
      </c>
      <c r="I403">
        <v>-98925833.129999995</v>
      </c>
    </row>
    <row r="404" spans="6:9" x14ac:dyDescent="0.3">
      <c r="F404" s="3" t="s">
        <v>773</v>
      </c>
      <c r="G404" s="3" t="s">
        <v>371</v>
      </c>
      <c r="H404">
        <v>41076707.82</v>
      </c>
      <c r="I404">
        <v>-17081254.41</v>
      </c>
    </row>
    <row r="405" spans="6:9" x14ac:dyDescent="0.3">
      <c r="F405" s="3" t="s">
        <v>774</v>
      </c>
      <c r="G405" s="3" t="s">
        <v>372</v>
      </c>
      <c r="H405">
        <v>-1875</v>
      </c>
      <c r="I405">
        <v>263858.64</v>
      </c>
    </row>
    <row r="406" spans="6:9" x14ac:dyDescent="0.3">
      <c r="F406" s="3" t="s">
        <v>775</v>
      </c>
      <c r="G406" s="3" t="s">
        <v>396</v>
      </c>
      <c r="H406">
        <v>41074832.82</v>
      </c>
      <c r="I406">
        <v>-16817395.77</v>
      </c>
    </row>
    <row r="407" spans="6:9" x14ac:dyDescent="0.3">
      <c r="F407" s="3" t="s">
        <v>373</v>
      </c>
      <c r="G407" s="3" t="s">
        <v>396</v>
      </c>
    </row>
    <row r="408" spans="6:9" x14ac:dyDescent="0.3">
      <c r="F408" s="3" t="s">
        <v>9</v>
      </c>
      <c r="G408" s="3" t="s">
        <v>396</v>
      </c>
      <c r="H408">
        <v>330968873.89999998</v>
      </c>
      <c r="I408">
        <v>200484560.22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6EB86F-B71F-4C48-8C9A-3024710E1E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Barratt</dc:creator>
  <cp:lastModifiedBy>Stephen Barratt</cp:lastModifiedBy>
  <cp:lastPrinted>2026-06-02T15:23:55Z</cp:lastPrinted>
  <dcterms:created xsi:type="dcterms:W3CDTF">2026-06-02T14:24:22Z</dcterms:created>
  <dcterms:modified xsi:type="dcterms:W3CDTF">2026-06-02T15:24:15Z</dcterms:modified>
</cp:coreProperties>
</file>